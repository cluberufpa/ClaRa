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ustard\nwhomestd\My Documents\Publications\Vero Merino - Lorena\"/>
    </mc:Choice>
  </mc:AlternateContent>
  <xr:revisionPtr revIDLastSave="0" documentId="8_{EF99F955-B682-4B36-BDA1-2365C486A3C6}" xr6:coauthVersionLast="45" xr6:coauthVersionMax="45" xr10:uidLastSave="{00000000-0000-0000-0000-000000000000}"/>
  <bookViews>
    <workbookView xWindow="-110" yWindow="-16310" windowWidth="29020" windowHeight="15820" xr2:uid="{A5FE89BB-4451-464E-A74D-749C3FF9A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13" i="1" l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<sst xmlns="http://schemas.openxmlformats.org/spreadsheetml/2006/main" count="15" uniqueCount="15">
  <si>
    <t>Period</t>
  </si>
  <si>
    <t>Time</t>
  </si>
  <si>
    <t>Cow No</t>
  </si>
  <si>
    <t>Herbage mass</t>
  </si>
  <si>
    <t>Supplement type</t>
  </si>
  <si>
    <t xml:space="preserve"> N-NH3 MMOL/L</t>
  </si>
  <si>
    <t>PH</t>
  </si>
  <si>
    <t>VFA</t>
  </si>
  <si>
    <t>acetic</t>
  </si>
  <si>
    <t>proppionic</t>
  </si>
  <si>
    <t>acetic/propionic</t>
  </si>
  <si>
    <t>butiric</t>
  </si>
  <si>
    <t>isobutiric</t>
  </si>
  <si>
    <t>valeric</t>
  </si>
  <si>
    <t>isovalereic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</si>
</sst>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6274-B488-4C1C-B0D3-95F41193FA2C}">
  <dimension ref="A1:O113"/>
  <sheetViews>
    <sheetView tabSelected="1" workbookViewId="0">
      <selection sqref="A1:XFD1048576"/>
    </sheetView>
  </sheetViews>
  <sheetFormatPr defaultColWidth="9.1796875" defaultRowHeight="14.5" x14ac:dyDescent="0.35"/>
  <cols>
    <col min="1" max="1" width="6.26953125" bestFit="1" customWidth="1"/>
    <col min="2" max="2" width="5.36328125" bestFit="1" customWidth="1"/>
    <col min="3" max="3" width="7.26953125" bestFit="1" customWidth="1"/>
    <col min="4" max="4" width="12.54296875" bestFit="1" customWidth="1"/>
    <col min="5" max="5" width="15.1796875" bestFit="1" customWidth="1"/>
    <col min="6" max="6" width="14.54296875" bestFit="1" customWidth="1"/>
    <col min="7" max="7" width="4.36328125" bestFit="1" customWidth="1"/>
    <col min="8" max="8" width="11.81640625" style="9" bestFit="1" customWidth="1"/>
    <col min="9" max="9" width="5.6328125" bestFit="1" customWidth="1"/>
    <col min="10" max="10" width="9.81640625" bestFit="1" customWidth="1"/>
    <col min="11" max="11" width="14.453125" bestFit="1" customWidth="1"/>
    <col min="12" max="12" width="6.1796875" bestFit="1" customWidth="1"/>
    <col min="13" max="13" width="8.54296875" bestFit="1" customWidth="1"/>
    <col min="14" max="14" width="6.1796875" bestFit="1" customWidth="1"/>
    <col min="15" max="15" width="9.54296875" bestFit="1" customWidth="1"/>
  </cols>
  <sheetData>
    <row r="1" spans="1:1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1</v>
      </c>
      <c r="B2" s="4">
        <v>0.27083333333333298</v>
      </c>
      <c r="C2" s="3">
        <v>1844</v>
      </c>
      <c r="D2" s="3">
        <v>2</v>
      </c>
      <c r="E2" s="3">
        <v>2</v>
      </c>
      <c r="F2" s="3">
        <v>7.18</v>
      </c>
      <c r="G2" s="5">
        <v>6.4533333333333331</v>
      </c>
      <c r="H2" s="6">
        <v>121.73327922934295</v>
      </c>
      <c r="I2" s="7">
        <v>63.539595302333481</v>
      </c>
      <c r="J2" s="7">
        <v>21.228245305637959</v>
      </c>
      <c r="K2" s="8">
        <f t="shared" ref="K2:K65" si="0">I2/J2</f>
        <v>2.993162853900984</v>
      </c>
      <c r="L2" s="7">
        <v>11.955832957805681</v>
      </c>
      <c r="M2" s="7">
        <v>0.86260087127194918</v>
      </c>
      <c r="N2" s="7">
        <v>1.3172488790423871</v>
      </c>
      <c r="O2" s="7">
        <v>1.0964766839085454</v>
      </c>
    </row>
    <row r="3" spans="1:15" x14ac:dyDescent="0.35">
      <c r="A3" s="3">
        <v>1</v>
      </c>
      <c r="B3" s="4">
        <v>0.45833333333333298</v>
      </c>
      <c r="C3" s="3">
        <v>1844</v>
      </c>
      <c r="D3" s="3">
        <v>2</v>
      </c>
      <c r="E3" s="3">
        <v>2</v>
      </c>
      <c r="F3" s="3">
        <v>13.49</v>
      </c>
      <c r="G3" s="5">
        <v>6.4833333333333343</v>
      </c>
      <c r="H3" s="6">
        <v>131.78811763322338</v>
      </c>
      <c r="I3" s="7">
        <v>62.068811564565451</v>
      </c>
      <c r="J3" s="7">
        <v>24.076258051520362</v>
      </c>
      <c r="K3" s="8">
        <f t="shared" si="0"/>
        <v>2.5780090673453278</v>
      </c>
      <c r="L3" s="7">
        <v>10.462055489248149</v>
      </c>
      <c r="M3" s="7">
        <v>0.84777265892359688</v>
      </c>
      <c r="N3" s="7">
        <v>1.4322978178766055</v>
      </c>
      <c r="O3" s="7">
        <v>1.1128044178658278</v>
      </c>
    </row>
    <row r="4" spans="1:15" x14ac:dyDescent="0.35">
      <c r="A4" s="3">
        <v>1</v>
      </c>
      <c r="B4" s="4">
        <v>0.58333333333333304</v>
      </c>
      <c r="C4" s="3">
        <v>1844</v>
      </c>
      <c r="D4" s="3">
        <v>2</v>
      </c>
      <c r="E4" s="3">
        <v>2</v>
      </c>
      <c r="F4" s="3">
        <v>12.4</v>
      </c>
      <c r="G4" s="5">
        <v>5.8166666666666664</v>
      </c>
      <c r="H4" s="6">
        <v>70.357859203380073</v>
      </c>
      <c r="I4" s="7">
        <v>62.19126187148678</v>
      </c>
      <c r="J4" s="7">
        <v>24.472326473519228</v>
      </c>
      <c r="K4" s="8">
        <f t="shared" si="0"/>
        <v>2.5412893187242367</v>
      </c>
      <c r="L4" s="7">
        <v>9.9663094419421263</v>
      </c>
      <c r="M4" s="7">
        <v>0.76438946558487575</v>
      </c>
      <c r="N4" s="7">
        <v>1.5164719816605958</v>
      </c>
      <c r="O4" s="7">
        <v>1.0892407658063854</v>
      </c>
    </row>
    <row r="5" spans="1:15" x14ac:dyDescent="0.35">
      <c r="A5" s="3">
        <v>1</v>
      </c>
      <c r="B5" s="4">
        <v>0.6875</v>
      </c>
      <c r="C5" s="3">
        <v>1844</v>
      </c>
      <c r="D5" s="3">
        <v>2</v>
      </c>
      <c r="E5" s="3">
        <v>2</v>
      </c>
      <c r="F5" s="3">
        <v>13.41</v>
      </c>
      <c r="G5" s="5">
        <v>6.2033333333333331</v>
      </c>
      <c r="H5" s="6">
        <v>65.735118192066508</v>
      </c>
      <c r="I5" s="7">
        <v>63.445896953832879</v>
      </c>
      <c r="J5" s="7">
        <v>22.581672054592143</v>
      </c>
      <c r="K5" s="8">
        <f t="shared" si="0"/>
        <v>2.8096190928842537</v>
      </c>
      <c r="L5" s="7">
        <v>10.351054469524865</v>
      </c>
      <c r="M5" s="7">
        <v>0.92796222569102582</v>
      </c>
      <c r="N5" s="7">
        <v>1.4683990272878882</v>
      </c>
      <c r="O5" s="7">
        <v>1.2250152690711951</v>
      </c>
    </row>
    <row r="6" spans="1:15" x14ac:dyDescent="0.35">
      <c r="A6" s="3">
        <v>1</v>
      </c>
      <c r="B6" s="4">
        <v>0.82291666666666696</v>
      </c>
      <c r="C6" s="3">
        <v>1844</v>
      </c>
      <c r="D6" s="3">
        <v>2</v>
      </c>
      <c r="E6" s="3">
        <v>2</v>
      </c>
      <c r="F6" s="3">
        <v>6.93</v>
      </c>
      <c r="G6" s="5">
        <v>5.4366666666666665</v>
      </c>
      <c r="H6" s="6"/>
      <c r="I6" s="7">
        <v>58.122134722074271</v>
      </c>
      <c r="J6" s="7">
        <v>26.394593144560236</v>
      </c>
      <c r="K6" s="8">
        <f t="shared" si="0"/>
        <v>2.2020470027230896</v>
      </c>
      <c r="L6" s="7">
        <v>12.083578810480343</v>
      </c>
      <c r="M6" s="7">
        <v>0.71577569855459355</v>
      </c>
      <c r="N6" s="7">
        <v>1.6775369706111356</v>
      </c>
      <c r="O6" s="7">
        <v>1.006380653719412</v>
      </c>
    </row>
    <row r="7" spans="1:15" x14ac:dyDescent="0.35">
      <c r="A7" s="3">
        <v>1</v>
      </c>
      <c r="B7" s="4">
        <v>0.9375</v>
      </c>
      <c r="C7" s="3">
        <v>1844</v>
      </c>
      <c r="D7" s="3">
        <v>2</v>
      </c>
      <c r="E7" s="3">
        <v>2</v>
      </c>
      <c r="F7" s="3">
        <v>10.75</v>
      </c>
      <c r="G7" s="5">
        <v>5.6433333333333335</v>
      </c>
      <c r="H7" s="6">
        <v>92.115627766434628</v>
      </c>
      <c r="I7" s="7">
        <v>53.430253672577841</v>
      </c>
      <c r="J7" s="7">
        <v>28.139378665347071</v>
      </c>
      <c r="K7" s="8">
        <f t="shared" si="0"/>
        <v>1.8987716220747917</v>
      </c>
      <c r="L7" s="7">
        <v>14.362258448402454</v>
      </c>
      <c r="M7" s="7">
        <v>0.80477714500816067</v>
      </c>
      <c r="N7" s="7">
        <v>2.1485966242412053</v>
      </c>
      <c r="O7" s="7">
        <v>1.1147354444232835</v>
      </c>
    </row>
    <row r="8" spans="1:15" x14ac:dyDescent="0.35">
      <c r="A8" s="3">
        <v>1</v>
      </c>
      <c r="B8" s="4">
        <v>3.125E-2</v>
      </c>
      <c r="C8" s="3">
        <v>1844</v>
      </c>
      <c r="D8" s="3">
        <v>2</v>
      </c>
      <c r="E8" s="3">
        <v>2</v>
      </c>
      <c r="F8" s="3">
        <v>5.45</v>
      </c>
      <c r="G8" s="5">
        <v>5.8566666666666665</v>
      </c>
      <c r="H8" s="6">
        <v>90.400615266139084</v>
      </c>
      <c r="I8" s="7">
        <v>56.788341411144557</v>
      </c>
      <c r="J8" s="7">
        <v>25.54743614592061</v>
      </c>
      <c r="K8" s="8">
        <f t="shared" si="0"/>
        <v>2.2228587278497796</v>
      </c>
      <c r="L8" s="7">
        <v>14.024850280861845</v>
      </c>
      <c r="M8" s="7">
        <v>0.75278267262128806</v>
      </c>
      <c r="N8" s="7">
        <v>1.9054764264356487</v>
      </c>
      <c r="O8" s="7">
        <v>0.98111306301604251</v>
      </c>
    </row>
    <row r="9" spans="1:15" x14ac:dyDescent="0.35">
      <c r="A9" s="3">
        <v>1</v>
      </c>
      <c r="B9" s="4">
        <v>0.27083333333333298</v>
      </c>
      <c r="C9" s="3">
        <v>2231</v>
      </c>
      <c r="D9" s="3">
        <v>1</v>
      </c>
      <c r="E9" s="3">
        <v>1</v>
      </c>
      <c r="F9" s="3">
        <v>5.45</v>
      </c>
      <c r="G9" s="5">
        <v>6.42</v>
      </c>
      <c r="H9" s="6">
        <v>131.24822077744989</v>
      </c>
      <c r="I9" s="7">
        <v>66.5334100481913</v>
      </c>
      <c r="J9" s="7">
        <v>18.79144206852078</v>
      </c>
      <c r="K9" s="8">
        <f t="shared" si="0"/>
        <v>3.5406228966135251</v>
      </c>
      <c r="L9" s="7">
        <v>11.552053012727535</v>
      </c>
      <c r="M9" s="7">
        <v>0.85020229025475502</v>
      </c>
      <c r="N9" s="7">
        <v>1.0650462403977152</v>
      </c>
      <c r="O9" s="7">
        <v>1.2078463399079491</v>
      </c>
    </row>
    <row r="10" spans="1:15" x14ac:dyDescent="0.35">
      <c r="A10" s="3">
        <v>1</v>
      </c>
      <c r="B10" s="4">
        <v>0.45833333333333298</v>
      </c>
      <c r="C10" s="3">
        <v>2231</v>
      </c>
      <c r="D10" s="3">
        <v>1</v>
      </c>
      <c r="E10" s="3">
        <v>1</v>
      </c>
      <c r="F10" s="3">
        <v>13.41</v>
      </c>
      <c r="G10" s="5">
        <v>6.376666666666666</v>
      </c>
      <c r="H10" s="6">
        <v>129.91129153283848</v>
      </c>
      <c r="I10" s="7">
        <v>63.723211826968573</v>
      </c>
      <c r="J10" s="7">
        <v>21.50757532122725</v>
      </c>
      <c r="K10" s="8">
        <f t="shared" si="0"/>
        <v>2.9628263937346726</v>
      </c>
      <c r="L10" s="7">
        <v>11.122806432655072</v>
      </c>
      <c r="M10" s="7">
        <v>0.83693835647168979</v>
      </c>
      <c r="N10" s="7">
        <v>1.6224263236000469</v>
      </c>
      <c r="O10" s="7">
        <v>1.1870417390773678</v>
      </c>
    </row>
    <row r="11" spans="1:15" x14ac:dyDescent="0.35">
      <c r="A11" s="3">
        <v>1</v>
      </c>
      <c r="B11" s="4">
        <v>0.58333333333333304</v>
      </c>
      <c r="C11" s="3">
        <v>2231</v>
      </c>
      <c r="D11" s="3">
        <v>1</v>
      </c>
      <c r="E11" s="3">
        <v>1</v>
      </c>
      <c r="F11" s="3">
        <v>5.45</v>
      </c>
      <c r="G11" s="5">
        <v>5.98</v>
      </c>
      <c r="H11" s="6">
        <v>80.348437647046154</v>
      </c>
      <c r="I11" s="7">
        <v>62.099959979455157</v>
      </c>
      <c r="J11" s="7">
        <v>21.24609361916114</v>
      </c>
      <c r="K11" s="8">
        <f t="shared" si="0"/>
        <v>2.9228883715098233</v>
      </c>
      <c r="L11" s="7">
        <v>12.070645690156743</v>
      </c>
      <c r="M11" s="7">
        <v>1.0276878376447323</v>
      </c>
      <c r="N11" s="7">
        <v>1.8008469977790664</v>
      </c>
      <c r="O11" s="7">
        <v>1.7547658758031541</v>
      </c>
    </row>
    <row r="12" spans="1:15" x14ac:dyDescent="0.35">
      <c r="A12" s="3">
        <v>1</v>
      </c>
      <c r="B12" s="4">
        <v>0.6875</v>
      </c>
      <c r="C12" s="3">
        <v>2231</v>
      </c>
      <c r="D12" s="3">
        <v>1</v>
      </c>
      <c r="E12" s="3">
        <v>1</v>
      </c>
      <c r="F12" s="3">
        <v>19.920000000000002</v>
      </c>
      <c r="G12" s="5">
        <v>6.22</v>
      </c>
      <c r="H12" s="6"/>
      <c r="I12" s="7">
        <v>62.738803893409788</v>
      </c>
      <c r="J12" s="7">
        <v>20.061668225463542</v>
      </c>
      <c r="K12" s="8">
        <f t="shared" si="0"/>
        <v>3.1272974504571716</v>
      </c>
      <c r="L12" s="7">
        <v>12.546533930253265</v>
      </c>
      <c r="M12" s="7">
        <v>0.98812726911857995</v>
      </c>
      <c r="N12" s="7">
        <v>1.9673224320342038</v>
      </c>
      <c r="O12" s="7">
        <v>1.6975442497206252</v>
      </c>
    </row>
    <row r="13" spans="1:15" x14ac:dyDescent="0.35">
      <c r="A13" s="3">
        <v>1</v>
      </c>
      <c r="B13" s="4">
        <v>0.82291666666666696</v>
      </c>
      <c r="C13" s="3">
        <v>2231</v>
      </c>
      <c r="D13" s="3">
        <v>1</v>
      </c>
      <c r="E13" s="3">
        <v>1</v>
      </c>
      <c r="F13" s="3">
        <v>5.5</v>
      </c>
      <c r="G13" s="5">
        <v>5.916666666666667</v>
      </c>
      <c r="H13" s="6"/>
      <c r="I13" s="7">
        <v>57.234661891456831</v>
      </c>
      <c r="J13" s="7">
        <v>24.023768626789892</v>
      </c>
      <c r="K13" s="8">
        <f t="shared" si="0"/>
        <v>2.3824181285042894</v>
      </c>
      <c r="L13" s="7">
        <v>14.123906968349727</v>
      </c>
      <c r="M13" s="7">
        <v>1.0458470231303989</v>
      </c>
      <c r="N13" s="7">
        <v>1.840642152389603</v>
      </c>
      <c r="O13" s="7">
        <v>1.7311733378835441</v>
      </c>
    </row>
    <row r="14" spans="1:15" x14ac:dyDescent="0.35">
      <c r="A14" s="3">
        <v>1</v>
      </c>
      <c r="B14" s="4">
        <v>0.9375</v>
      </c>
      <c r="C14" s="3">
        <v>2231</v>
      </c>
      <c r="D14" s="3">
        <v>1</v>
      </c>
      <c r="E14" s="3">
        <v>1</v>
      </c>
      <c r="F14" s="3">
        <v>11.36</v>
      </c>
      <c r="G14" s="5">
        <v>5.7333333333333343</v>
      </c>
      <c r="H14" s="6">
        <v>43.953257236037814</v>
      </c>
      <c r="I14" s="7">
        <v>60.139051818322919</v>
      </c>
      <c r="J14" s="7">
        <v>22.556618250294008</v>
      </c>
      <c r="K14" s="8">
        <f t="shared" si="0"/>
        <v>2.6661377672399564</v>
      </c>
      <c r="L14" s="7">
        <v>12.972605601560941</v>
      </c>
      <c r="M14" s="7">
        <v>0.89511013507093884</v>
      </c>
      <c r="N14" s="7">
        <v>1.8436093644316551</v>
      </c>
      <c r="O14" s="7">
        <v>1.5930048303195248</v>
      </c>
    </row>
    <row r="15" spans="1:15" x14ac:dyDescent="0.35">
      <c r="A15" s="3">
        <v>1</v>
      </c>
      <c r="B15" s="4">
        <v>3.125E-2</v>
      </c>
      <c r="C15" s="3">
        <v>2231</v>
      </c>
      <c r="D15" s="3">
        <v>1</v>
      </c>
      <c r="E15" s="3">
        <v>1</v>
      </c>
      <c r="F15" s="3">
        <v>3.83</v>
      </c>
      <c r="G15" s="5">
        <v>5.8000000000000007</v>
      </c>
      <c r="H15" s="6">
        <v>96.212925406135469</v>
      </c>
      <c r="I15" s="7">
        <v>60.242692221296437</v>
      </c>
      <c r="J15" s="7">
        <v>23.417579630205893</v>
      </c>
      <c r="K15" s="8">
        <f t="shared" si="0"/>
        <v>2.5725413630531881</v>
      </c>
      <c r="L15" s="7">
        <v>13.523339620406045</v>
      </c>
      <c r="M15" s="7">
        <v>0.77483380346902508</v>
      </c>
      <c r="N15" s="7">
        <v>0.75817127748618429</v>
      </c>
      <c r="O15" s="7">
        <v>1.2833834471364352</v>
      </c>
    </row>
    <row r="16" spans="1:15" x14ac:dyDescent="0.35">
      <c r="A16" s="3">
        <v>1</v>
      </c>
      <c r="B16" s="4">
        <v>0.27083333333333331</v>
      </c>
      <c r="C16" s="3">
        <v>2243</v>
      </c>
      <c r="D16" s="3">
        <v>2</v>
      </c>
      <c r="E16" s="3">
        <v>1</v>
      </c>
      <c r="F16" s="3">
        <v>2.75</v>
      </c>
      <c r="G16" s="5">
        <v>6.376666666666666</v>
      </c>
      <c r="H16" s="6">
        <v>167.10779113299193</v>
      </c>
      <c r="I16" s="7">
        <v>68.173387789939639</v>
      </c>
      <c r="J16" s="7">
        <v>18.058578621082123</v>
      </c>
      <c r="K16" s="8">
        <f t="shared" si="0"/>
        <v>3.7751247880800536</v>
      </c>
      <c r="L16" s="7">
        <v>11.223081856068614</v>
      </c>
      <c r="M16" s="7">
        <v>0.72175667162710622</v>
      </c>
      <c r="N16" s="7">
        <v>0.96180049617624797</v>
      </c>
      <c r="O16" s="7">
        <v>0.86139456510628365</v>
      </c>
    </row>
    <row r="17" spans="1:15" x14ac:dyDescent="0.35">
      <c r="A17" s="3">
        <v>1</v>
      </c>
      <c r="B17" s="4">
        <v>0.45833333333333331</v>
      </c>
      <c r="C17" s="3">
        <v>2243</v>
      </c>
      <c r="D17" s="3">
        <v>2</v>
      </c>
      <c r="E17" s="3">
        <v>1</v>
      </c>
      <c r="F17" s="3">
        <v>14.54</v>
      </c>
      <c r="G17" s="5">
        <v>6.1966666666666663</v>
      </c>
      <c r="H17" s="6">
        <v>104.97168774690773</v>
      </c>
      <c r="I17" s="7">
        <v>65.483019215376132</v>
      </c>
      <c r="J17" s="7">
        <v>19.828795907225278</v>
      </c>
      <c r="K17" s="8">
        <f t="shared" si="0"/>
        <v>3.3024203548091</v>
      </c>
      <c r="L17" s="7">
        <v>10.986166688615183</v>
      </c>
      <c r="M17" s="7">
        <v>0.9265431433228315</v>
      </c>
      <c r="N17" s="7">
        <v>1.6036384842621498</v>
      </c>
      <c r="O17" s="7">
        <v>1.1718365611984196</v>
      </c>
    </row>
    <row r="18" spans="1:15" x14ac:dyDescent="0.35">
      <c r="A18" s="3">
        <v>1</v>
      </c>
      <c r="B18" s="4">
        <v>0.58333333333333337</v>
      </c>
      <c r="C18" s="3">
        <v>2243</v>
      </c>
      <c r="D18" s="3">
        <v>2</v>
      </c>
      <c r="E18" s="3">
        <v>1</v>
      </c>
      <c r="F18" s="3">
        <v>7.08</v>
      </c>
      <c r="G18" s="5">
        <v>5.48</v>
      </c>
      <c r="H18" s="6">
        <v>143.23006663748311</v>
      </c>
      <c r="I18" s="7">
        <v>63.4422139729107</v>
      </c>
      <c r="J18" s="7">
        <v>20.730521000600806</v>
      </c>
      <c r="K18" s="8">
        <f t="shared" si="0"/>
        <v>3.0603289695937712</v>
      </c>
      <c r="L18" s="7">
        <v>11.967008797602981</v>
      </c>
      <c r="M18" s="7">
        <v>0.93280123793135716</v>
      </c>
      <c r="N18" s="7">
        <v>1.628552221394117</v>
      </c>
      <c r="O18" s="7">
        <v>1.298902769560045</v>
      </c>
    </row>
    <row r="19" spans="1:15" x14ac:dyDescent="0.35">
      <c r="A19" s="3">
        <v>1</v>
      </c>
      <c r="B19" s="4">
        <v>0.6875</v>
      </c>
      <c r="C19" s="3">
        <v>2243</v>
      </c>
      <c r="D19" s="3">
        <v>2</v>
      </c>
      <c r="E19" s="3">
        <v>1</v>
      </c>
      <c r="F19" s="3">
        <v>15.81</v>
      </c>
      <c r="G19" s="5">
        <v>6.2033333333333331</v>
      </c>
      <c r="H19" s="6">
        <v>89.16361113125177</v>
      </c>
      <c r="I19" s="7">
        <v>64.897419644647982</v>
      </c>
      <c r="J19" s="7">
        <v>19.301330984330352</v>
      </c>
      <c r="K19" s="8">
        <f t="shared" si="0"/>
        <v>3.3623287273470668</v>
      </c>
      <c r="L19" s="7">
        <v>12.016341541289039</v>
      </c>
      <c r="M19" s="7">
        <v>0.94819429274067069</v>
      </c>
      <c r="N19" s="7">
        <v>1.5085108482796383</v>
      </c>
      <c r="O19" s="7">
        <v>1.3282026887123246</v>
      </c>
    </row>
    <row r="20" spans="1:15" x14ac:dyDescent="0.35">
      <c r="A20" s="3">
        <v>1</v>
      </c>
      <c r="B20" s="4">
        <v>0.82291666666666663</v>
      </c>
      <c r="C20" s="3">
        <v>2243</v>
      </c>
      <c r="D20" s="3">
        <v>2</v>
      </c>
      <c r="E20" s="3">
        <v>1</v>
      </c>
      <c r="F20" s="3">
        <v>11.06</v>
      </c>
      <c r="G20" s="5">
        <v>5.6266666666666678</v>
      </c>
      <c r="H20" s="6">
        <v>93.543706486198005</v>
      </c>
      <c r="I20" s="7">
        <v>60.971057299629351</v>
      </c>
      <c r="J20" s="7">
        <v>21.865002752337347</v>
      </c>
      <c r="K20" s="8">
        <f t="shared" si="0"/>
        <v>2.7885227360930291</v>
      </c>
      <c r="L20" s="7">
        <v>13.648692941316273</v>
      </c>
      <c r="M20" s="7">
        <v>0.84235567528238142</v>
      </c>
      <c r="N20" s="7">
        <v>1.4656634374528161</v>
      </c>
      <c r="O20" s="7">
        <v>1.207227893981822</v>
      </c>
    </row>
    <row r="21" spans="1:15" x14ac:dyDescent="0.35">
      <c r="A21" s="3">
        <v>1</v>
      </c>
      <c r="B21" s="4">
        <v>0.9375</v>
      </c>
      <c r="C21" s="3">
        <v>2243</v>
      </c>
      <c r="D21" s="3">
        <v>2</v>
      </c>
      <c r="E21" s="3">
        <v>1</v>
      </c>
      <c r="F21" s="3">
        <v>13.3</v>
      </c>
      <c r="G21" s="5">
        <v>5.6400000000000006</v>
      </c>
      <c r="H21" s="6">
        <v>78.570656985653713</v>
      </c>
      <c r="I21" s="7">
        <v>61.192375438593984</v>
      </c>
      <c r="J21" s="7">
        <v>21.741322647781818</v>
      </c>
      <c r="K21" s="8">
        <f t="shared" si="0"/>
        <v>2.8145654443354302</v>
      </c>
      <c r="L21" s="7">
        <v>13.467458408687266</v>
      </c>
      <c r="M21" s="7">
        <v>0.92443215663635459</v>
      </c>
      <c r="N21" s="7">
        <v>1.3949798113385139</v>
      </c>
      <c r="O21" s="7">
        <v>1.2794315369620557</v>
      </c>
    </row>
    <row r="22" spans="1:15" x14ac:dyDescent="0.35">
      <c r="A22" s="3">
        <v>1</v>
      </c>
      <c r="B22" s="4">
        <v>3.125E-2</v>
      </c>
      <c r="C22" s="3">
        <v>2243</v>
      </c>
      <c r="D22" s="3">
        <v>2</v>
      </c>
      <c r="E22" s="3">
        <v>1</v>
      </c>
      <c r="F22" s="3">
        <v>4.29</v>
      </c>
      <c r="G22" s="5">
        <v>5.6033333333333326</v>
      </c>
      <c r="H22" s="6">
        <v>96.104650983228453</v>
      </c>
      <c r="I22" s="7">
        <v>61.313362423363692</v>
      </c>
      <c r="J22" s="7">
        <v>22.087359050295763</v>
      </c>
      <c r="K22" s="8">
        <f t="shared" si="0"/>
        <v>2.7759481015247349</v>
      </c>
      <c r="L22" s="7">
        <v>13.39480154117105</v>
      </c>
      <c r="M22" s="7">
        <v>0.81817561623521784</v>
      </c>
      <c r="N22" s="7">
        <v>1.2892270618170281</v>
      </c>
      <c r="O22" s="7">
        <v>1.097074307117218</v>
      </c>
    </row>
    <row r="23" spans="1:15" x14ac:dyDescent="0.35">
      <c r="A23" s="3">
        <v>1</v>
      </c>
      <c r="B23" s="4">
        <v>0.27083333333333331</v>
      </c>
      <c r="C23" s="3">
        <v>5182</v>
      </c>
      <c r="D23" s="3">
        <v>1</v>
      </c>
      <c r="E23" s="3">
        <v>2</v>
      </c>
      <c r="F23" s="3">
        <v>7.34</v>
      </c>
      <c r="G23" s="5">
        <v>6.330000000000001</v>
      </c>
      <c r="H23" s="6">
        <v>87.34</v>
      </c>
      <c r="I23" s="7">
        <v>65.3</v>
      </c>
      <c r="J23" s="7">
        <v>18.925729137376525</v>
      </c>
      <c r="K23" s="8">
        <f t="shared" si="0"/>
        <v>3.4503294180110964</v>
      </c>
      <c r="L23" s="7">
        <v>8.0714214941715134</v>
      </c>
      <c r="M23" s="7">
        <v>1.2635073114451385</v>
      </c>
      <c r="N23" s="7">
        <v>1.3099609095360591</v>
      </c>
      <c r="O23" s="7">
        <v>1.9688747807506406</v>
      </c>
    </row>
    <row r="24" spans="1:15" x14ac:dyDescent="0.35">
      <c r="A24" s="3">
        <v>1</v>
      </c>
      <c r="B24" s="4">
        <v>0.45833333333333331</v>
      </c>
      <c r="C24" s="3">
        <v>5182</v>
      </c>
      <c r="D24" s="3">
        <v>1</v>
      </c>
      <c r="E24" s="3">
        <v>2</v>
      </c>
      <c r="F24" s="3">
        <v>13.22</v>
      </c>
      <c r="G24" s="5">
        <v>6.7166666666666659</v>
      </c>
      <c r="H24" s="6">
        <v>83.073351761298653</v>
      </c>
      <c r="I24" s="7">
        <v>65.066316377526505</v>
      </c>
      <c r="J24" s="7">
        <v>22.155689810212344</v>
      </c>
      <c r="K24" s="8">
        <f t="shared" si="0"/>
        <v>2.9367768250454169</v>
      </c>
      <c r="L24" s="7">
        <v>9.2999696309645774</v>
      </c>
      <c r="M24" s="7">
        <v>0.88970085294153289</v>
      </c>
      <c r="N24" s="7">
        <v>1.3218531915494243</v>
      </c>
      <c r="O24" s="7">
        <v>1.2664701368056444</v>
      </c>
    </row>
    <row r="25" spans="1:15" x14ac:dyDescent="0.35">
      <c r="A25" s="3">
        <v>1</v>
      </c>
      <c r="B25" s="4">
        <v>0.58333333333333337</v>
      </c>
      <c r="C25" s="3">
        <v>5182</v>
      </c>
      <c r="D25" s="3">
        <v>1</v>
      </c>
      <c r="E25" s="3">
        <v>2</v>
      </c>
      <c r="F25" s="3">
        <v>7.19</v>
      </c>
      <c r="G25" s="5">
        <v>6.5266666666666664</v>
      </c>
      <c r="H25" s="6">
        <v>125.02903807996393</v>
      </c>
      <c r="I25" s="7">
        <v>57.494135862941086</v>
      </c>
      <c r="J25" s="7">
        <v>25.553698317217886</v>
      </c>
      <c r="K25" s="8">
        <f t="shared" si="0"/>
        <v>2.2499340466973416</v>
      </c>
      <c r="L25" s="7">
        <v>12.854798449598359</v>
      </c>
      <c r="M25" s="7">
        <v>0.83475518417324979</v>
      </c>
      <c r="N25" s="7">
        <v>1.8440130672539685</v>
      </c>
      <c r="O25" s="7">
        <v>1.418599118815457</v>
      </c>
    </row>
    <row r="26" spans="1:15" x14ac:dyDescent="0.35">
      <c r="A26" s="3">
        <v>1</v>
      </c>
      <c r="B26" s="4">
        <v>0.6875</v>
      </c>
      <c r="C26" s="3">
        <v>5182</v>
      </c>
      <c r="D26" s="3">
        <v>1</v>
      </c>
      <c r="E26" s="3">
        <v>2</v>
      </c>
      <c r="F26" s="3">
        <v>18.7</v>
      </c>
      <c r="G26" s="5">
        <v>5.5933333333333337</v>
      </c>
      <c r="H26" s="6">
        <v>51.156598690363516</v>
      </c>
      <c r="I26" s="7">
        <v>60.533250269084164</v>
      </c>
      <c r="J26" s="7">
        <v>24.942884547058394</v>
      </c>
      <c r="K26" s="8">
        <f t="shared" si="0"/>
        <v>2.426874492197538</v>
      </c>
      <c r="L26" s="7">
        <v>10.864673512462021</v>
      </c>
      <c r="M26" s="7">
        <v>0.71533823371436911</v>
      </c>
      <c r="N26" s="7">
        <v>1.6078038542833988</v>
      </c>
      <c r="O26" s="7">
        <v>1.3360495833976342</v>
      </c>
    </row>
    <row r="27" spans="1:15" x14ac:dyDescent="0.35">
      <c r="A27" s="3">
        <v>1</v>
      </c>
      <c r="B27" s="4">
        <v>0.82291666666666663</v>
      </c>
      <c r="C27" s="3">
        <v>5182</v>
      </c>
      <c r="D27" s="3">
        <v>1</v>
      </c>
      <c r="E27" s="3">
        <v>2</v>
      </c>
      <c r="F27" s="3">
        <v>11.93</v>
      </c>
      <c r="G27" s="5">
        <v>5.0933333333333328</v>
      </c>
      <c r="H27" s="6"/>
      <c r="I27" s="7">
        <v>59.820062412219734</v>
      </c>
      <c r="J27" s="7">
        <v>21.717839630105843</v>
      </c>
      <c r="K27" s="8">
        <f t="shared" si="0"/>
        <v>2.7544204870771578</v>
      </c>
      <c r="L27" s="7">
        <v>14.905686524989461</v>
      </c>
      <c r="M27" s="7">
        <v>0.67373932581538665</v>
      </c>
      <c r="N27" s="7">
        <v>1.6471898796350082</v>
      </c>
      <c r="O27" s="7">
        <v>1.2354822272345827</v>
      </c>
    </row>
    <row r="28" spans="1:15" x14ac:dyDescent="0.35">
      <c r="A28" s="3">
        <v>1</v>
      </c>
      <c r="B28" s="4">
        <v>0.9375</v>
      </c>
      <c r="C28" s="3">
        <v>5182</v>
      </c>
      <c r="D28" s="3">
        <v>1</v>
      </c>
      <c r="E28" s="3">
        <v>2</v>
      </c>
      <c r="F28" s="3">
        <v>8.65</v>
      </c>
      <c r="G28" s="5">
        <v>5.3900000000000006</v>
      </c>
      <c r="H28" s="6">
        <v>103.25120417804322</v>
      </c>
      <c r="I28" s="7">
        <v>52.490350040682934</v>
      </c>
      <c r="J28" s="7">
        <v>25.625752765477543</v>
      </c>
      <c r="K28" s="8">
        <f t="shared" si="0"/>
        <v>2.0483437314433468</v>
      </c>
      <c r="L28" s="7">
        <v>17.683859183030872</v>
      </c>
      <c r="M28" s="7">
        <v>0.69243625219854299</v>
      </c>
      <c r="N28" s="7">
        <v>2.2675191406804651</v>
      </c>
      <c r="O28" s="7">
        <v>1.2400826179296505</v>
      </c>
    </row>
    <row r="29" spans="1:15" x14ac:dyDescent="0.35">
      <c r="A29" s="3">
        <v>1</v>
      </c>
      <c r="B29" s="4">
        <v>3.125E-2</v>
      </c>
      <c r="C29" s="3">
        <v>5182</v>
      </c>
      <c r="D29" s="3">
        <v>1</v>
      </c>
      <c r="E29" s="3">
        <v>2</v>
      </c>
      <c r="F29" s="3">
        <v>4.08</v>
      </c>
      <c r="G29" s="5">
        <v>5.7600000000000007</v>
      </c>
      <c r="H29" s="6">
        <v>100.46469457998577</v>
      </c>
      <c r="I29" s="7">
        <v>52.690152079894204</v>
      </c>
      <c r="J29" s="7">
        <v>25.757178325093232</v>
      </c>
      <c r="K29" s="8">
        <f t="shared" si="0"/>
        <v>2.0456492328028903</v>
      </c>
      <c r="L29" s="7">
        <v>16.951424405397162</v>
      </c>
      <c r="M29" s="7">
        <v>0.7467402579703496</v>
      </c>
      <c r="N29" s="7">
        <v>2.6373958573050418</v>
      </c>
      <c r="O29" s="7">
        <v>1.2171090743400104</v>
      </c>
    </row>
    <row r="30" spans="1:15" x14ac:dyDescent="0.35">
      <c r="A30" s="3">
        <v>2</v>
      </c>
      <c r="B30" s="4">
        <v>0.27083333333333298</v>
      </c>
      <c r="C30" s="3">
        <v>1844</v>
      </c>
      <c r="D30" s="3">
        <v>2</v>
      </c>
      <c r="E30" s="3">
        <v>1</v>
      </c>
      <c r="F30" s="3">
        <v>4.0599999999999996</v>
      </c>
      <c r="G30" s="5">
        <v>6.4666666666666659</v>
      </c>
      <c r="H30" s="6">
        <v>122.82330930996289</v>
      </c>
      <c r="I30" s="7">
        <v>63.116530355952193</v>
      </c>
      <c r="J30" s="7">
        <v>23.223312367148381</v>
      </c>
      <c r="K30" s="8">
        <f t="shared" si="0"/>
        <v>2.7178091289525357</v>
      </c>
      <c r="L30" s="7">
        <v>10.45369317520778</v>
      </c>
      <c r="M30" s="7">
        <v>0.84092997706711126</v>
      </c>
      <c r="N30" s="7">
        <v>1.2738140087573606</v>
      </c>
      <c r="O30" s="7">
        <v>1.0917201158671803</v>
      </c>
    </row>
    <row r="31" spans="1:15" x14ac:dyDescent="0.35">
      <c r="A31" s="3">
        <v>2</v>
      </c>
      <c r="B31" s="4">
        <v>0.45833333333333298</v>
      </c>
      <c r="C31" s="3">
        <v>1844</v>
      </c>
      <c r="D31" s="3">
        <v>2</v>
      </c>
      <c r="E31" s="3">
        <v>1</v>
      </c>
      <c r="F31" s="3">
        <v>2.97</v>
      </c>
      <c r="G31" s="5">
        <v>5.1466666666666674</v>
      </c>
      <c r="H31" s="6"/>
      <c r="I31" s="7">
        <v>62.694757207306374</v>
      </c>
      <c r="J31" s="7">
        <v>22.01807325298839</v>
      </c>
      <c r="K31" s="8">
        <f t="shared" si="0"/>
        <v>2.8474225009128427</v>
      </c>
      <c r="L31" s="7">
        <v>10.348476400153293</v>
      </c>
      <c r="M31" s="7">
        <v>1.3458259843014779</v>
      </c>
      <c r="N31" s="7">
        <v>1.7937937486018765</v>
      </c>
      <c r="O31" s="7">
        <v>1.7990734066486065</v>
      </c>
    </row>
    <row r="32" spans="1:15" x14ac:dyDescent="0.35">
      <c r="A32" s="3">
        <v>2</v>
      </c>
      <c r="B32" s="4">
        <v>0.58333333333333304</v>
      </c>
      <c r="C32" s="3">
        <v>1844</v>
      </c>
      <c r="D32" s="3">
        <v>2</v>
      </c>
      <c r="E32" s="3">
        <v>1</v>
      </c>
      <c r="F32" s="3">
        <v>1.59</v>
      </c>
      <c r="G32" s="5">
        <v>5.7133333333333338</v>
      </c>
      <c r="H32" s="6">
        <v>126.47971366655388</v>
      </c>
      <c r="I32" s="7">
        <v>60.928492740542218</v>
      </c>
      <c r="J32" s="7">
        <v>25.571616930302788</v>
      </c>
      <c r="K32" s="8">
        <f t="shared" si="0"/>
        <v>2.3826609364048839</v>
      </c>
      <c r="L32" s="7">
        <v>10.30008684833032</v>
      </c>
      <c r="M32" s="7">
        <v>0.80081397793534959</v>
      </c>
      <c r="N32" s="7">
        <v>1.3311009555470712</v>
      </c>
      <c r="O32" s="7">
        <v>1.0678885473422475</v>
      </c>
    </row>
    <row r="33" spans="1:15" x14ac:dyDescent="0.35">
      <c r="A33" s="3">
        <v>2</v>
      </c>
      <c r="B33" s="4">
        <v>0.6875</v>
      </c>
      <c r="C33" s="3">
        <v>1844</v>
      </c>
      <c r="D33" s="3">
        <v>2</v>
      </c>
      <c r="E33" s="3">
        <v>1</v>
      </c>
      <c r="F33" s="3">
        <v>7.08</v>
      </c>
      <c r="G33" s="5">
        <v>5.5366666666666662</v>
      </c>
      <c r="H33" s="6"/>
      <c r="I33" s="7">
        <v>63.090429832849594</v>
      </c>
      <c r="J33" s="7">
        <v>24.04615110919902</v>
      </c>
      <c r="K33" s="8">
        <f t="shared" si="0"/>
        <v>2.6237225885482323</v>
      </c>
      <c r="L33" s="7">
        <v>9.7110745624260471</v>
      </c>
      <c r="M33" s="7">
        <v>0.77045525235067513</v>
      </c>
      <c r="N33" s="7">
        <v>1.31973607851368</v>
      </c>
      <c r="O33" s="7">
        <v>1.0621531646609852</v>
      </c>
    </row>
    <row r="34" spans="1:15" x14ac:dyDescent="0.35">
      <c r="A34" s="3">
        <v>2</v>
      </c>
      <c r="B34" s="4">
        <v>0.82291666666666696</v>
      </c>
      <c r="C34" s="3">
        <v>1844</v>
      </c>
      <c r="D34" s="3">
        <v>2</v>
      </c>
      <c r="E34" s="3">
        <v>1</v>
      </c>
      <c r="F34" s="3">
        <v>17.079999999999998</v>
      </c>
      <c r="G34" s="5">
        <v>5.416666666666667</v>
      </c>
      <c r="H34" s="6">
        <v>139.06859445405271</v>
      </c>
      <c r="I34" s="7">
        <v>58.276262868910756</v>
      </c>
      <c r="J34" s="7">
        <v>26.3233074228718</v>
      </c>
      <c r="K34" s="8">
        <f t="shared" si="0"/>
        <v>2.2138655273339878</v>
      </c>
      <c r="L34" s="7">
        <v>12.018629217291631</v>
      </c>
      <c r="M34" s="7">
        <v>0.81796474897612059</v>
      </c>
      <c r="N34" s="7">
        <v>1.3889111012586057</v>
      </c>
      <c r="O34" s="7">
        <v>1.1749246406910936</v>
      </c>
    </row>
    <row r="35" spans="1:15" x14ac:dyDescent="0.35">
      <c r="A35" s="3">
        <v>2</v>
      </c>
      <c r="B35" s="4">
        <v>0.9375</v>
      </c>
      <c r="C35" s="3">
        <v>1844</v>
      </c>
      <c r="D35" s="3">
        <v>2</v>
      </c>
      <c r="E35" s="3">
        <v>1</v>
      </c>
      <c r="F35" s="3">
        <v>1.75</v>
      </c>
      <c r="G35" s="5">
        <v>5.1533333333333333</v>
      </c>
      <c r="H35" s="6">
        <v>86.827991055011623</v>
      </c>
      <c r="I35" s="7">
        <v>64.318892607851268</v>
      </c>
      <c r="J35" s="7">
        <v>20.870486692701906</v>
      </c>
      <c r="K35" s="8">
        <f t="shared" si="0"/>
        <v>3.0818108631047214</v>
      </c>
      <c r="L35" s="7">
        <v>11.21184818316747</v>
      </c>
      <c r="M35" s="7">
        <v>0.8413152948582312</v>
      </c>
      <c r="N35" s="7">
        <v>1.7284695611852023</v>
      </c>
      <c r="O35" s="7">
        <v>1.0289876602359085</v>
      </c>
    </row>
    <row r="36" spans="1:15" x14ac:dyDescent="0.35">
      <c r="A36" s="3">
        <v>2</v>
      </c>
      <c r="B36" s="4">
        <v>3.125E-2</v>
      </c>
      <c r="C36" s="3">
        <v>1844</v>
      </c>
      <c r="D36" s="3">
        <v>2</v>
      </c>
      <c r="E36" s="3">
        <v>1</v>
      </c>
      <c r="F36" s="3">
        <v>1.28</v>
      </c>
      <c r="G36" s="5">
        <v>5.52</v>
      </c>
      <c r="H36" s="6">
        <v>110.3101077801015</v>
      </c>
      <c r="I36" s="7">
        <v>64.220364030084781</v>
      </c>
      <c r="J36" s="7">
        <v>21.351606456060999</v>
      </c>
      <c r="K36" s="8">
        <f t="shared" si="0"/>
        <v>3.0077532649471812</v>
      </c>
      <c r="L36" s="7">
        <v>11.341910868495919</v>
      </c>
      <c r="M36" s="7">
        <v>0.73924147802950546</v>
      </c>
      <c r="N36" s="7">
        <v>1.5123789543655548</v>
      </c>
      <c r="O36" s="7">
        <v>0.83449821296324722</v>
      </c>
    </row>
    <row r="37" spans="1:15" x14ac:dyDescent="0.35">
      <c r="A37" s="3">
        <v>2</v>
      </c>
      <c r="B37" s="4">
        <v>0.27083333333333298</v>
      </c>
      <c r="C37" s="3">
        <v>2231</v>
      </c>
      <c r="D37" s="3">
        <v>1</v>
      </c>
      <c r="E37" s="3">
        <v>2</v>
      </c>
      <c r="F37" s="3">
        <v>3.18</v>
      </c>
      <c r="G37" s="5">
        <v>5.5366666666666662</v>
      </c>
      <c r="H37" s="6">
        <v>87.268177618326931</v>
      </c>
      <c r="I37" s="7">
        <v>69.469908196910296</v>
      </c>
      <c r="J37" s="7">
        <v>15.203337605180433</v>
      </c>
      <c r="K37" s="8">
        <f t="shared" si="0"/>
        <v>4.5693853547814989</v>
      </c>
      <c r="L37" s="7">
        <v>12.498934536385105</v>
      </c>
      <c r="M37" s="7">
        <v>0.85361581927009089</v>
      </c>
      <c r="N37" s="7">
        <v>0.97724409860259487</v>
      </c>
      <c r="O37" s="7">
        <v>0.99695974365148898</v>
      </c>
    </row>
    <row r="38" spans="1:15" x14ac:dyDescent="0.35">
      <c r="A38" s="3">
        <v>2</v>
      </c>
      <c r="B38" s="4">
        <v>0.45833333333333298</v>
      </c>
      <c r="C38" s="3">
        <v>2231</v>
      </c>
      <c r="D38" s="3">
        <v>1</v>
      </c>
      <c r="E38" s="3">
        <v>2</v>
      </c>
      <c r="F38" s="3">
        <v>2.2999999999999998</v>
      </c>
      <c r="G38" s="5">
        <v>5.1933333333333325</v>
      </c>
      <c r="H38" s="6"/>
      <c r="I38" s="7">
        <v>71.677311328691843</v>
      </c>
      <c r="J38" s="7">
        <v>14.431657500258163</v>
      </c>
      <c r="K38" s="8">
        <f t="shared" si="0"/>
        <v>4.9666721461072392</v>
      </c>
      <c r="L38" s="7">
        <v>9.341571655810629</v>
      </c>
      <c r="M38" s="7">
        <v>1.1676413048188679</v>
      </c>
      <c r="N38" s="7">
        <v>1.6752910975812343</v>
      </c>
      <c r="O38" s="7">
        <v>1.7065271128392754</v>
      </c>
    </row>
    <row r="39" spans="1:15" x14ac:dyDescent="0.35">
      <c r="A39" s="3">
        <v>2</v>
      </c>
      <c r="B39" s="4">
        <v>0.58333333333333304</v>
      </c>
      <c r="C39" s="3">
        <v>2231</v>
      </c>
      <c r="D39" s="3">
        <v>1</v>
      </c>
      <c r="E39" s="3">
        <v>2</v>
      </c>
      <c r="F39" s="3">
        <v>2.46</v>
      </c>
      <c r="G39" s="5">
        <v>5.0633333333333335</v>
      </c>
      <c r="H39" s="6">
        <v>67.65208543157172</v>
      </c>
      <c r="I39" s="7">
        <v>65.149824343124791</v>
      </c>
      <c r="J39" s="7">
        <v>19.0133314471489</v>
      </c>
      <c r="K39" s="8">
        <f t="shared" si="0"/>
        <v>3.4265338783064334</v>
      </c>
      <c r="L39" s="7">
        <v>11.910796483865026</v>
      </c>
      <c r="M39" s="7">
        <v>1.020686300386781</v>
      </c>
      <c r="N39" s="7">
        <v>1.675922866257145</v>
      </c>
      <c r="O39" s="7">
        <v>1.2294385592173742</v>
      </c>
    </row>
    <row r="40" spans="1:15" x14ac:dyDescent="0.35">
      <c r="A40" s="3">
        <v>2</v>
      </c>
      <c r="B40" s="4">
        <v>0.6875</v>
      </c>
      <c r="C40" s="3">
        <v>2231</v>
      </c>
      <c r="D40" s="3">
        <v>1</v>
      </c>
      <c r="E40" s="3">
        <v>2</v>
      </c>
      <c r="F40" s="3">
        <v>5.69</v>
      </c>
      <c r="G40" s="5">
        <v>5.1566666666666663</v>
      </c>
      <c r="H40" s="6">
        <v>97.804039326415392</v>
      </c>
      <c r="I40" s="7">
        <v>64.923072061590332</v>
      </c>
      <c r="J40" s="7">
        <v>20.352856282672459</v>
      </c>
      <c r="K40" s="8">
        <f t="shared" si="0"/>
        <v>3.1898752273342108</v>
      </c>
      <c r="L40" s="7">
        <v>11.581886124506036</v>
      </c>
      <c r="M40" s="7">
        <v>0.64498442060351913</v>
      </c>
      <c r="N40" s="7">
        <v>1.669274447338237</v>
      </c>
      <c r="O40" s="7">
        <v>0.82792666328941023</v>
      </c>
    </row>
    <row r="41" spans="1:15" x14ac:dyDescent="0.35">
      <c r="A41" s="3">
        <v>2</v>
      </c>
      <c r="B41" s="4">
        <v>0.82291666666666696</v>
      </c>
      <c r="C41" s="3">
        <v>2231</v>
      </c>
      <c r="D41" s="3">
        <v>1</v>
      </c>
      <c r="E41" s="3">
        <v>2</v>
      </c>
      <c r="F41" s="3">
        <v>8.3699999999999992</v>
      </c>
      <c r="G41" s="5">
        <v>5.1733333333333329</v>
      </c>
      <c r="H41" s="6">
        <v>94.583564500850002</v>
      </c>
      <c r="I41" s="7">
        <v>63.038774201193817</v>
      </c>
      <c r="J41" s="7">
        <v>21.444784693266179</v>
      </c>
      <c r="K41" s="8">
        <f t="shared" si="0"/>
        <v>2.9395853165636332</v>
      </c>
      <c r="L41" s="7">
        <v>11.82900131664972</v>
      </c>
      <c r="M41" s="7">
        <v>0.79111711783555161</v>
      </c>
      <c r="N41" s="7">
        <v>1.8731167605585832</v>
      </c>
      <c r="O41" s="7">
        <v>1.0232059104961531</v>
      </c>
    </row>
    <row r="42" spans="1:15" x14ac:dyDescent="0.35">
      <c r="A42" s="3">
        <v>2</v>
      </c>
      <c r="B42" s="4">
        <v>0.9375</v>
      </c>
      <c r="C42" s="3">
        <v>2231</v>
      </c>
      <c r="D42" s="3">
        <v>1</v>
      </c>
      <c r="E42" s="3">
        <v>2</v>
      </c>
      <c r="F42" s="3">
        <v>1.63</v>
      </c>
      <c r="G42" s="5">
        <v>4.8833333333333337</v>
      </c>
      <c r="H42" s="6"/>
      <c r="I42" s="7">
        <v>62.346238131101373</v>
      </c>
      <c r="J42" s="7">
        <v>21.977649070292632</v>
      </c>
      <c r="K42" s="8">
        <f t="shared" si="0"/>
        <v>2.8368019678399223</v>
      </c>
      <c r="L42" s="7">
        <v>11.027968603100302</v>
      </c>
      <c r="M42" s="7">
        <v>1.184429721561046</v>
      </c>
      <c r="N42" s="7">
        <v>1.7439744200715666</v>
      </c>
      <c r="O42" s="7">
        <v>1.7197400538730756</v>
      </c>
    </row>
    <row r="43" spans="1:15" x14ac:dyDescent="0.35">
      <c r="A43" s="3">
        <v>2</v>
      </c>
      <c r="B43" s="4">
        <v>3.125E-2</v>
      </c>
      <c r="C43" s="3">
        <v>2231</v>
      </c>
      <c r="D43" s="3">
        <v>1</v>
      </c>
      <c r="E43" s="3">
        <v>2</v>
      </c>
      <c r="F43" s="3">
        <v>1.5</v>
      </c>
      <c r="G43" s="5">
        <v>5.3933333333333335</v>
      </c>
      <c r="H43" s="6">
        <v>116.03770213392134</v>
      </c>
      <c r="I43" s="7">
        <v>60.54078142249729</v>
      </c>
      <c r="J43" s="7">
        <v>23.079874518512682</v>
      </c>
      <c r="K43" s="8">
        <f t="shared" si="0"/>
        <v>2.6230983783701554</v>
      </c>
      <c r="L43" s="7">
        <v>11.843215261121667</v>
      </c>
      <c r="M43" s="7">
        <v>1.2219809257978786</v>
      </c>
      <c r="N43" s="7">
        <v>1.7152469900513916</v>
      </c>
      <c r="O43" s="7">
        <v>1.5989008820190997</v>
      </c>
    </row>
    <row r="44" spans="1:15" x14ac:dyDescent="0.35">
      <c r="A44" s="3">
        <v>2</v>
      </c>
      <c r="B44" s="4">
        <v>0.27083333333333331</v>
      </c>
      <c r="C44" s="3">
        <v>2243</v>
      </c>
      <c r="D44" s="3">
        <v>2</v>
      </c>
      <c r="E44" s="3">
        <v>2</v>
      </c>
      <c r="F44" s="3">
        <v>2.66</v>
      </c>
      <c r="G44" s="5">
        <v>6.1566666666666663</v>
      </c>
      <c r="H44" s="6">
        <v>80.461475607012815</v>
      </c>
      <c r="I44" s="7">
        <v>68.429442327471236</v>
      </c>
      <c r="J44" s="7">
        <v>16.168972530978895</v>
      </c>
      <c r="K44" s="8">
        <f t="shared" si="0"/>
        <v>4.2321453757413501</v>
      </c>
      <c r="L44" s="7">
        <v>12.260232630301218</v>
      </c>
      <c r="M44" s="7">
        <v>0.90615902011168536</v>
      </c>
      <c r="N44" s="7">
        <v>1.1450361996383935</v>
      </c>
      <c r="O44" s="7">
        <v>1.0901572914985793</v>
      </c>
    </row>
    <row r="45" spans="1:15" x14ac:dyDescent="0.35">
      <c r="A45" s="3">
        <v>2</v>
      </c>
      <c r="B45" s="4">
        <v>0.45833333333333331</v>
      </c>
      <c r="C45" s="3">
        <v>2243</v>
      </c>
      <c r="D45" s="3">
        <v>2</v>
      </c>
      <c r="E45" s="3">
        <v>2</v>
      </c>
      <c r="F45" s="3">
        <v>3.91</v>
      </c>
      <c r="G45" s="5">
        <v>4.9366666666666665</v>
      </c>
      <c r="H45" s="6"/>
      <c r="I45" s="7">
        <v>75.27843059009561</v>
      </c>
      <c r="J45" s="7">
        <v>12.939854777547524</v>
      </c>
      <c r="K45" s="8">
        <f t="shared" si="0"/>
        <v>5.8175637891017384</v>
      </c>
      <c r="L45" s="7">
        <v>8.4679300600079355</v>
      </c>
      <c r="M45" s="7">
        <v>0.83057762760737242</v>
      </c>
      <c r="N45" s="7">
        <v>1.3883392950458269</v>
      </c>
      <c r="O45" s="7">
        <v>1.0948676496957341</v>
      </c>
    </row>
    <row r="46" spans="1:15" x14ac:dyDescent="0.35">
      <c r="A46" s="3">
        <v>2</v>
      </c>
      <c r="B46" s="4">
        <v>0.58333333333333337</v>
      </c>
      <c r="C46" s="3">
        <v>2243</v>
      </c>
      <c r="D46" s="3">
        <v>2</v>
      </c>
      <c r="E46" s="3">
        <v>2</v>
      </c>
      <c r="F46" s="3">
        <v>1.69</v>
      </c>
      <c r="G46" s="5">
        <v>4.8999999999999995</v>
      </c>
      <c r="H46" s="6">
        <v>133.76645114657782</v>
      </c>
      <c r="I46" s="7">
        <v>58.75238632552405</v>
      </c>
      <c r="J46" s="7">
        <v>27.302325847253258</v>
      </c>
      <c r="K46" s="8">
        <f t="shared" si="0"/>
        <v>2.1519187286175772</v>
      </c>
      <c r="L46" s="7">
        <v>10.280690374982219</v>
      </c>
      <c r="M46" s="7">
        <v>0.91493885146976561</v>
      </c>
      <c r="N46" s="7">
        <v>1.5039554727744193</v>
      </c>
      <c r="O46" s="7">
        <v>1.2457031279962729</v>
      </c>
    </row>
    <row r="47" spans="1:15" x14ac:dyDescent="0.35">
      <c r="A47" s="3">
        <v>2</v>
      </c>
      <c r="B47" s="4">
        <v>0.6875</v>
      </c>
      <c r="C47" s="3">
        <v>2243</v>
      </c>
      <c r="D47" s="3">
        <v>2</v>
      </c>
      <c r="E47" s="3">
        <v>2</v>
      </c>
      <c r="F47" s="3">
        <v>6.25</v>
      </c>
      <c r="G47" s="5">
        <v>5.2533333333333339</v>
      </c>
      <c r="H47" s="6"/>
      <c r="I47" s="7">
        <v>73.149180442219745</v>
      </c>
      <c r="J47" s="7">
        <v>14.100827622060413</v>
      </c>
      <c r="K47" s="8">
        <f t="shared" si="0"/>
        <v>5.1875806443998771</v>
      </c>
      <c r="L47" s="7">
        <v>8.9470467756214518</v>
      </c>
      <c r="M47" s="7">
        <v>0.86796894352423759</v>
      </c>
      <c r="N47" s="7">
        <v>1.7362796700872196</v>
      </c>
      <c r="O47" s="7">
        <v>1.1986965464869301</v>
      </c>
    </row>
    <row r="48" spans="1:15" x14ac:dyDescent="0.35">
      <c r="A48" s="3">
        <v>2</v>
      </c>
      <c r="B48" s="4">
        <v>0.82291666666666663</v>
      </c>
      <c r="C48" s="3">
        <v>2243</v>
      </c>
      <c r="D48" s="3">
        <v>2</v>
      </c>
      <c r="E48" s="3">
        <v>2</v>
      </c>
      <c r="F48" s="3">
        <v>11.62</v>
      </c>
      <c r="G48" s="5">
        <v>5.44</v>
      </c>
      <c r="H48" s="6">
        <v>98.763195863060005</v>
      </c>
      <c r="I48" s="7">
        <v>59.665408320546632</v>
      </c>
      <c r="J48" s="7">
        <v>20.809469612357152</v>
      </c>
      <c r="K48" s="8">
        <f t="shared" si="0"/>
        <v>2.867223885663857</v>
      </c>
      <c r="L48" s="7">
        <v>15.222021048088102</v>
      </c>
      <c r="M48" s="7">
        <v>1.0328605889750415</v>
      </c>
      <c r="N48" s="7">
        <v>1.7890427717161941</v>
      </c>
      <c r="O48" s="7">
        <v>1.481197658316884</v>
      </c>
    </row>
    <row r="49" spans="1:15" x14ac:dyDescent="0.35">
      <c r="A49" s="3">
        <v>2</v>
      </c>
      <c r="B49" s="4">
        <v>0.9375</v>
      </c>
      <c r="C49" s="3">
        <v>2243</v>
      </c>
      <c r="D49" s="3">
        <v>2</v>
      </c>
      <c r="E49" s="3">
        <v>2</v>
      </c>
      <c r="F49" s="3">
        <v>1.56</v>
      </c>
      <c r="G49" s="5">
        <v>4.9666666666666659</v>
      </c>
      <c r="H49" s="6">
        <v>107.89869721118851</v>
      </c>
      <c r="I49" s="7">
        <v>59.921663586983712</v>
      </c>
      <c r="J49" s="7">
        <v>24.609602876426568</v>
      </c>
      <c r="K49" s="8">
        <f t="shared" si="0"/>
        <v>2.4348894977245821</v>
      </c>
      <c r="L49" s="7">
        <v>11.362968373710295</v>
      </c>
      <c r="M49" s="7">
        <v>0.85817790017049844</v>
      </c>
      <c r="N49" s="7">
        <v>2.0350597088954832</v>
      </c>
      <c r="O49" s="7">
        <v>1.2125275538134628</v>
      </c>
    </row>
    <row r="50" spans="1:15" x14ac:dyDescent="0.35">
      <c r="A50" s="3">
        <v>2</v>
      </c>
      <c r="B50" s="4">
        <v>3.125E-2</v>
      </c>
      <c r="C50" s="3">
        <v>2243</v>
      </c>
      <c r="D50" s="3">
        <v>2</v>
      </c>
      <c r="E50" s="3">
        <v>2</v>
      </c>
      <c r="F50" s="3">
        <v>1.9</v>
      </c>
      <c r="G50" s="5">
        <v>5.2166666666666668</v>
      </c>
      <c r="H50" s="6">
        <v>122.03175556787318</v>
      </c>
      <c r="I50" s="7">
        <v>61.268754932644583</v>
      </c>
      <c r="J50" s="7">
        <v>24.496281227860681</v>
      </c>
      <c r="K50" s="8">
        <f t="shared" si="0"/>
        <v>2.5011451478178235</v>
      </c>
      <c r="L50" s="7">
        <v>10.960368246559767</v>
      </c>
      <c r="M50" s="7">
        <v>0.84456445124436663</v>
      </c>
      <c r="N50" s="7">
        <v>1.3150413332997088</v>
      </c>
      <c r="O50" s="7">
        <v>1.1149898083908996</v>
      </c>
    </row>
    <row r="51" spans="1:15" x14ac:dyDescent="0.35">
      <c r="A51" s="3">
        <v>2</v>
      </c>
      <c r="B51" s="4">
        <v>0.27083333333333331</v>
      </c>
      <c r="C51" s="3">
        <v>5182</v>
      </c>
      <c r="D51" s="3">
        <v>1</v>
      </c>
      <c r="E51" s="3">
        <v>1</v>
      </c>
      <c r="F51" s="3">
        <v>3.94</v>
      </c>
      <c r="G51" s="5">
        <v>5.8233333333333333</v>
      </c>
      <c r="H51" s="6"/>
      <c r="I51" s="7">
        <v>54.869894310249535</v>
      </c>
      <c r="J51" s="7">
        <v>26.897238307990257</v>
      </c>
      <c r="K51" s="8">
        <f t="shared" si="0"/>
        <v>2.0399824577510453</v>
      </c>
      <c r="L51" s="7">
        <v>12.451960397055565</v>
      </c>
      <c r="M51" s="7">
        <v>1.4648280637754785</v>
      </c>
      <c r="N51" s="7">
        <v>2.1761377945976768</v>
      </c>
      <c r="O51" s="7">
        <v>2.1399411263315073</v>
      </c>
    </row>
    <row r="52" spans="1:15" x14ac:dyDescent="0.35">
      <c r="A52" s="3">
        <v>2</v>
      </c>
      <c r="B52" s="4">
        <v>0.45833333333333331</v>
      </c>
      <c r="C52" s="3">
        <v>5182</v>
      </c>
      <c r="D52" s="3">
        <v>1</v>
      </c>
      <c r="E52" s="3">
        <v>1</v>
      </c>
      <c r="F52" s="3">
        <v>2.52</v>
      </c>
      <c r="G52" s="5">
        <v>5.5533333333333337</v>
      </c>
      <c r="H52" s="6">
        <v>64.801823805043909</v>
      </c>
      <c r="I52" s="7">
        <v>64.310089370649209</v>
      </c>
      <c r="J52" s="7">
        <v>23.395387274389513</v>
      </c>
      <c r="K52" s="8">
        <f t="shared" si="0"/>
        <v>2.7488362819729102</v>
      </c>
      <c r="L52" s="7">
        <v>9.030227138887577</v>
      </c>
      <c r="M52" s="7">
        <v>0.86249033081376403</v>
      </c>
      <c r="N52" s="7">
        <v>1.2609739203139605</v>
      </c>
      <c r="O52" s="7">
        <v>1.1408319649459648</v>
      </c>
    </row>
    <row r="53" spans="1:15" x14ac:dyDescent="0.35">
      <c r="A53" s="3">
        <v>2</v>
      </c>
      <c r="B53" s="4">
        <v>0.58333333333333337</v>
      </c>
      <c r="C53" s="3">
        <v>5182</v>
      </c>
      <c r="D53" s="3">
        <v>1</v>
      </c>
      <c r="E53" s="3">
        <v>1</v>
      </c>
      <c r="F53" s="3">
        <v>4.1100000000000003</v>
      </c>
      <c r="G53" s="5">
        <v>5.3933333333333335</v>
      </c>
      <c r="H53" s="6">
        <v>104.47870231371105</v>
      </c>
      <c r="I53" s="7">
        <v>64.034666888661278</v>
      </c>
      <c r="J53" s="7">
        <v>19.448902959319643</v>
      </c>
      <c r="K53" s="8">
        <f t="shared" si="0"/>
        <v>3.2924564960090339</v>
      </c>
      <c r="L53" s="7">
        <v>12.892633327979613</v>
      </c>
      <c r="M53" s="7">
        <v>0.87059027674549261</v>
      </c>
      <c r="N53" s="7">
        <v>1.5894856143270064</v>
      </c>
      <c r="O53" s="7">
        <v>1.1637209329669693</v>
      </c>
    </row>
    <row r="54" spans="1:15" x14ac:dyDescent="0.35">
      <c r="A54" s="3">
        <v>2</v>
      </c>
      <c r="B54" s="4">
        <v>0.6875</v>
      </c>
      <c r="C54" s="3">
        <v>5182</v>
      </c>
      <c r="D54" s="3">
        <v>1</v>
      </c>
      <c r="E54" s="3">
        <v>1</v>
      </c>
      <c r="F54" s="3">
        <v>4.58</v>
      </c>
      <c r="G54" s="5">
        <v>5.5100000000000007</v>
      </c>
      <c r="H54" s="6">
        <v>80.223375815512071</v>
      </c>
      <c r="I54" s="7">
        <v>60.60014771146561</v>
      </c>
      <c r="J54" s="7">
        <v>24.872035926128948</v>
      </c>
      <c r="K54" s="8">
        <f t="shared" si="0"/>
        <v>2.4364771702425463</v>
      </c>
      <c r="L54" s="7">
        <v>10.433218791312328</v>
      </c>
      <c r="M54" s="7">
        <v>1.0351735552347721</v>
      </c>
      <c r="N54" s="7">
        <v>1.6570785269693091</v>
      </c>
      <c r="O54" s="7">
        <v>1.402345488889051</v>
      </c>
    </row>
    <row r="55" spans="1:15" x14ac:dyDescent="0.35">
      <c r="A55" s="3">
        <v>2</v>
      </c>
      <c r="B55" s="4">
        <v>0.82291666666666663</v>
      </c>
      <c r="C55" s="3">
        <v>5182</v>
      </c>
      <c r="D55" s="3">
        <v>1</v>
      </c>
      <c r="E55" s="3">
        <v>1</v>
      </c>
      <c r="F55" s="3">
        <v>17.77</v>
      </c>
      <c r="G55" s="5">
        <v>5.6466666666666674</v>
      </c>
      <c r="H55" s="6">
        <v>105.48632409729481</v>
      </c>
      <c r="I55" s="7">
        <v>59.505395375277523</v>
      </c>
      <c r="J55" s="7">
        <v>24.270945490447176</v>
      </c>
      <c r="K55" s="8">
        <f t="shared" si="0"/>
        <v>2.4517131151194049</v>
      </c>
      <c r="L55" s="7">
        <v>11.642940963353899</v>
      </c>
      <c r="M55" s="7">
        <v>1.1554896258574623</v>
      </c>
      <c r="N55" s="7">
        <v>1.800963061729876</v>
      </c>
      <c r="O55" s="7">
        <v>1.6242654833340666</v>
      </c>
    </row>
    <row r="56" spans="1:15" x14ac:dyDescent="0.35">
      <c r="A56" s="3">
        <v>2</v>
      </c>
      <c r="B56" s="4">
        <v>0.9375</v>
      </c>
      <c r="C56" s="3">
        <v>5182</v>
      </c>
      <c r="D56" s="3">
        <v>1</v>
      </c>
      <c r="E56" s="3">
        <v>1</v>
      </c>
      <c r="F56" s="3">
        <v>4.1900000000000004</v>
      </c>
      <c r="G56" s="5">
        <v>5.1933333333333342</v>
      </c>
      <c r="H56" s="6">
        <v>73.123600172549388</v>
      </c>
      <c r="I56" s="7">
        <v>62.195562100932122</v>
      </c>
      <c r="J56" s="7">
        <v>19.73088386223823</v>
      </c>
      <c r="K56" s="8">
        <f t="shared" si="0"/>
        <v>3.1521934108570031</v>
      </c>
      <c r="L56" s="7">
        <v>14.200616840521391</v>
      </c>
      <c r="M56" s="7">
        <v>0.89495192447411576</v>
      </c>
      <c r="N56" s="7">
        <v>1.7970921953560635</v>
      </c>
      <c r="O56" s="7">
        <v>1.1808930764780889</v>
      </c>
    </row>
    <row r="57" spans="1:15" x14ac:dyDescent="0.35">
      <c r="A57" s="3">
        <v>2</v>
      </c>
      <c r="B57" s="4">
        <v>3.125E-2</v>
      </c>
      <c r="C57" s="3">
        <v>5182</v>
      </c>
      <c r="D57" s="3">
        <v>1</v>
      </c>
      <c r="E57" s="3">
        <v>1</v>
      </c>
      <c r="F57" s="3">
        <v>3.8</v>
      </c>
      <c r="G57" s="5">
        <v>5.53</v>
      </c>
      <c r="H57" s="6">
        <v>94.705017536329422</v>
      </c>
      <c r="I57" s="7">
        <v>63.70505490017765</v>
      </c>
      <c r="J57" s="7">
        <v>19.611011532493468</v>
      </c>
      <c r="K57" s="8">
        <f t="shared" si="0"/>
        <v>3.2484328916244225</v>
      </c>
      <c r="L57" s="7">
        <v>13.443129285706265</v>
      </c>
      <c r="M57" s="7">
        <v>0.81355644087846235</v>
      </c>
      <c r="N57" s="7">
        <v>1.3993328661224997</v>
      </c>
      <c r="O57" s="7">
        <v>1.0279149746216618</v>
      </c>
    </row>
    <row r="58" spans="1:15" x14ac:dyDescent="0.35">
      <c r="A58" s="3">
        <v>3</v>
      </c>
      <c r="B58" s="4">
        <v>0.27083333333333298</v>
      </c>
      <c r="C58" s="3">
        <v>1844</v>
      </c>
      <c r="D58" s="3">
        <v>1</v>
      </c>
      <c r="E58" s="3">
        <v>1</v>
      </c>
      <c r="F58" s="3">
        <v>3.24</v>
      </c>
      <c r="G58" s="5">
        <v>6.080000000000001</v>
      </c>
      <c r="H58" s="6">
        <v>56.062695885612236</v>
      </c>
      <c r="I58" s="7">
        <v>67.517469013756099</v>
      </c>
      <c r="J58" s="7">
        <v>18.175285236889131</v>
      </c>
      <c r="K58" s="8">
        <f t="shared" si="0"/>
        <v>3.7147955662737284</v>
      </c>
      <c r="L58" s="7">
        <v>10.735760438362997</v>
      </c>
      <c r="M58" s="7">
        <v>0.99842222299329331</v>
      </c>
      <c r="N58" s="7">
        <v>0.91183407006221795</v>
      </c>
      <c r="O58" s="7">
        <v>1.6612290179362517</v>
      </c>
    </row>
    <row r="59" spans="1:15" x14ac:dyDescent="0.35">
      <c r="A59" s="3">
        <v>3</v>
      </c>
      <c r="B59" s="4">
        <v>0.45833333333333331</v>
      </c>
      <c r="C59" s="3">
        <v>1844</v>
      </c>
      <c r="D59" s="3">
        <v>1</v>
      </c>
      <c r="E59" s="3">
        <v>1</v>
      </c>
      <c r="F59" s="3">
        <v>2.64</v>
      </c>
      <c r="G59" s="5">
        <v>6.3866666666666667</v>
      </c>
      <c r="H59" s="6"/>
      <c r="I59" s="7">
        <v>64.709483243077656</v>
      </c>
      <c r="J59" s="7">
        <v>18.657204431567376</v>
      </c>
      <c r="K59" s="8">
        <f t="shared" si="0"/>
        <v>3.4683375786777222</v>
      </c>
      <c r="L59" s="7">
        <v>11.6171104296547</v>
      </c>
      <c r="M59" s="7">
        <v>1.3588884894938198</v>
      </c>
      <c r="N59" s="7">
        <v>1.4479124020350109</v>
      </c>
      <c r="O59" s="7">
        <v>2.2094010041714474</v>
      </c>
    </row>
    <row r="60" spans="1:15" x14ac:dyDescent="0.35">
      <c r="A60" s="3">
        <v>3</v>
      </c>
      <c r="B60" s="4">
        <v>0.58333333333333304</v>
      </c>
      <c r="C60" s="3">
        <v>1844</v>
      </c>
      <c r="D60" s="3">
        <v>1</v>
      </c>
      <c r="E60" s="3">
        <v>1</v>
      </c>
      <c r="F60" s="3">
        <v>3.54</v>
      </c>
      <c r="G60" s="5">
        <v>6.4433333333333325</v>
      </c>
      <c r="H60" s="6"/>
      <c r="I60" s="7">
        <v>61.349069089954732</v>
      </c>
      <c r="J60" s="7">
        <v>20.683562737296842</v>
      </c>
      <c r="K60" s="8">
        <f t="shared" si="0"/>
        <v>2.9660784202969719</v>
      </c>
      <c r="L60" s="7">
        <v>13.122784140249674</v>
      </c>
      <c r="M60" s="7">
        <v>1.3371250352118598</v>
      </c>
      <c r="N60" s="7">
        <v>1.3522600881921014</v>
      </c>
      <c r="O60" s="7">
        <v>2.1551989090948043</v>
      </c>
    </row>
    <row r="61" spans="1:15" x14ac:dyDescent="0.35">
      <c r="A61" s="3">
        <v>3</v>
      </c>
      <c r="B61" s="4">
        <v>0.6875</v>
      </c>
      <c r="C61" s="3">
        <v>1844</v>
      </c>
      <c r="D61" s="3">
        <v>1</v>
      </c>
      <c r="E61" s="3">
        <v>1</v>
      </c>
      <c r="F61" s="3">
        <v>11.55</v>
      </c>
      <c r="G61" s="5">
        <v>5.623333333333334</v>
      </c>
      <c r="H61" s="6">
        <v>108.36253710958371</v>
      </c>
      <c r="I61" s="7">
        <v>62.514934850768334</v>
      </c>
      <c r="J61" s="7">
        <v>20.034045266391729</v>
      </c>
      <c r="K61" s="8">
        <f t="shared" si="0"/>
        <v>3.1204349405978808</v>
      </c>
      <c r="L61" s="7">
        <v>13.185819489628066</v>
      </c>
      <c r="M61" s="7">
        <v>1.1378874239196568</v>
      </c>
      <c r="N61" s="7">
        <v>1.261803785959188</v>
      </c>
      <c r="O61" s="7">
        <v>1.8655091833330351</v>
      </c>
    </row>
    <row r="62" spans="1:15" x14ac:dyDescent="0.35">
      <c r="A62" s="3">
        <v>3</v>
      </c>
      <c r="B62" s="4">
        <v>0.82291666666666696</v>
      </c>
      <c r="C62" s="3">
        <v>1844</v>
      </c>
      <c r="D62" s="3">
        <v>1</v>
      </c>
      <c r="E62" s="3">
        <v>1</v>
      </c>
      <c r="F62" s="3">
        <v>15.78</v>
      </c>
      <c r="G62" s="5">
        <v>5.2666666666666666</v>
      </c>
      <c r="H62" s="6">
        <v>120.44372244401382</v>
      </c>
      <c r="I62" s="7">
        <v>66.748932558936716</v>
      </c>
      <c r="J62" s="7">
        <v>20.120059845722047</v>
      </c>
      <c r="K62" s="8">
        <f t="shared" si="0"/>
        <v>3.3175315118721658</v>
      </c>
      <c r="L62" s="7">
        <v>10.580959677612471</v>
      </c>
      <c r="M62" s="7">
        <v>0.58644950853722921</v>
      </c>
      <c r="N62" s="7">
        <v>0.98879412917766041</v>
      </c>
      <c r="O62" s="7">
        <v>0.97480428001387887</v>
      </c>
    </row>
    <row r="63" spans="1:15" x14ac:dyDescent="0.35">
      <c r="A63" s="3">
        <v>3</v>
      </c>
      <c r="B63" s="4">
        <v>0.9375</v>
      </c>
      <c r="C63" s="3">
        <v>1844</v>
      </c>
      <c r="D63" s="3">
        <v>1</v>
      </c>
      <c r="E63" s="3">
        <v>1</v>
      </c>
      <c r="F63" s="3">
        <v>4.43</v>
      </c>
      <c r="G63" s="5">
        <v>5.72</v>
      </c>
      <c r="H63" s="6">
        <v>67.469933987292762</v>
      </c>
      <c r="I63" s="7">
        <v>66.048454994431609</v>
      </c>
      <c r="J63" s="7">
        <v>19.623913425166204</v>
      </c>
      <c r="K63" s="8">
        <f t="shared" si="0"/>
        <v>3.3657127181232562</v>
      </c>
      <c r="L63" s="7">
        <v>11.242304079512531</v>
      </c>
      <c r="M63" s="7">
        <v>0.67077212767703576</v>
      </c>
      <c r="N63" s="7">
        <v>1.1141831189244411</v>
      </c>
      <c r="O63" s="7">
        <v>1.3003722542882028</v>
      </c>
    </row>
    <row r="64" spans="1:15" x14ac:dyDescent="0.35">
      <c r="A64" s="3">
        <v>3</v>
      </c>
      <c r="B64" s="4">
        <v>3.125E-2</v>
      </c>
      <c r="C64" s="3">
        <v>1844</v>
      </c>
      <c r="D64" s="3">
        <v>1</v>
      </c>
      <c r="E64" s="3">
        <v>1</v>
      </c>
      <c r="F64" s="3">
        <v>5.51</v>
      </c>
      <c r="G64" s="5">
        <v>5.246666666666667</v>
      </c>
      <c r="H64" s="6">
        <v>90.321857489873452</v>
      </c>
      <c r="I64" s="7">
        <v>65.597310780065257</v>
      </c>
      <c r="J64" s="7">
        <v>20.208493350479394</v>
      </c>
      <c r="K64" s="8">
        <f t="shared" si="0"/>
        <v>3.2460267889545129</v>
      </c>
      <c r="L64" s="7">
        <v>11.238288239649087</v>
      </c>
      <c r="M64" s="7">
        <v>0.68765532882633429</v>
      </c>
      <c r="N64" s="7">
        <v>1.0520092642477905</v>
      </c>
      <c r="O64" s="7">
        <v>1.2162430367321617</v>
      </c>
    </row>
    <row r="65" spans="1:15" x14ac:dyDescent="0.35">
      <c r="A65" s="3">
        <v>3</v>
      </c>
      <c r="B65" s="4">
        <v>0.27083333333333298</v>
      </c>
      <c r="C65" s="3">
        <v>2231</v>
      </c>
      <c r="D65" s="3">
        <v>2</v>
      </c>
      <c r="E65" s="3">
        <v>2</v>
      </c>
      <c r="F65" s="3">
        <v>11.62</v>
      </c>
      <c r="G65" s="5">
        <v>6.4466666666666663</v>
      </c>
      <c r="H65" s="6">
        <v>75.938455853240001</v>
      </c>
      <c r="I65" s="7">
        <v>67.032888569100166</v>
      </c>
      <c r="J65" s="7">
        <v>16.330561208999729</v>
      </c>
      <c r="K65" s="8">
        <f t="shared" si="0"/>
        <v>4.1047510683318418</v>
      </c>
      <c r="L65" s="7">
        <v>13.415987815219454</v>
      </c>
      <c r="M65" s="7">
        <v>0.92685946845199418</v>
      </c>
      <c r="N65" s="7">
        <v>1.2920180327328061</v>
      </c>
      <c r="O65" s="7">
        <v>1.0016849054958215</v>
      </c>
    </row>
    <row r="66" spans="1:15" x14ac:dyDescent="0.35">
      <c r="A66" s="3">
        <v>3</v>
      </c>
      <c r="B66" s="4">
        <v>0.45833333333333298</v>
      </c>
      <c r="C66" s="3">
        <v>2231</v>
      </c>
      <c r="D66" s="3">
        <v>2</v>
      </c>
      <c r="E66" s="3">
        <v>2</v>
      </c>
      <c r="F66" s="3">
        <v>2.04</v>
      </c>
      <c r="G66" s="5">
        <v>6.419999999999999</v>
      </c>
      <c r="H66" s="6">
        <v>63.355947477581672</v>
      </c>
      <c r="I66" s="7">
        <v>57.6311589453558</v>
      </c>
      <c r="J66" s="7">
        <v>20.952809168555419</v>
      </c>
      <c r="K66" s="8">
        <f t="shared" ref="K66:K113" si="1">I66/J66</f>
        <v>2.7505218265360241</v>
      </c>
      <c r="L66" s="7">
        <v>15.581116456760041</v>
      </c>
      <c r="M66" s="7">
        <v>1.5149896941519172</v>
      </c>
      <c r="N66" s="7">
        <v>2.2844974695405553</v>
      </c>
      <c r="O66" s="7">
        <v>2.0354282656362765</v>
      </c>
    </row>
    <row r="67" spans="1:15" x14ac:dyDescent="0.35">
      <c r="A67" s="3">
        <v>3</v>
      </c>
      <c r="B67" s="4">
        <v>0.58333333333333337</v>
      </c>
      <c r="C67" s="3">
        <v>2231</v>
      </c>
      <c r="D67" s="3">
        <v>2</v>
      </c>
      <c r="E67" s="3">
        <v>2</v>
      </c>
      <c r="F67" s="3">
        <v>2.35</v>
      </c>
      <c r="G67" s="5">
        <v>6.2600000000000007</v>
      </c>
      <c r="H67" s="6"/>
      <c r="I67" s="7">
        <v>59.339169474081245</v>
      </c>
      <c r="J67" s="7">
        <v>20.259341814153629</v>
      </c>
      <c r="K67" s="8">
        <f t="shared" si="1"/>
        <v>2.9289781483732891</v>
      </c>
      <c r="L67" s="7">
        <v>15.918185308123711</v>
      </c>
      <c r="M67" s="7">
        <v>1.290137978214599</v>
      </c>
      <c r="N67" s="7">
        <v>1.644324309812625</v>
      </c>
      <c r="O67" s="7">
        <v>1.5488411156141959</v>
      </c>
    </row>
    <row r="68" spans="1:15" x14ac:dyDescent="0.35">
      <c r="A68" s="3">
        <v>3</v>
      </c>
      <c r="B68" s="4">
        <v>0.6875</v>
      </c>
      <c r="C68" s="3">
        <v>2231</v>
      </c>
      <c r="D68" s="3">
        <v>2</v>
      </c>
      <c r="E68" s="3">
        <v>2</v>
      </c>
      <c r="F68" s="3">
        <v>20.51</v>
      </c>
      <c r="G68" s="5">
        <v>5.75</v>
      </c>
      <c r="H68" s="6">
        <v>130.19999999999999</v>
      </c>
      <c r="I68" s="7">
        <v>64.626288143911552</v>
      </c>
      <c r="J68" s="7">
        <v>18.51429794612255</v>
      </c>
      <c r="K68" s="8">
        <f t="shared" si="1"/>
        <v>3.4906151090350277</v>
      </c>
      <c r="L68" s="7">
        <v>13.74958014758006</v>
      </c>
      <c r="M68" s="7">
        <v>0.91978746490500118</v>
      </c>
      <c r="N68" s="7">
        <v>1.1379291557801134</v>
      </c>
      <c r="O68" s="7">
        <v>1.0521171417007384</v>
      </c>
    </row>
    <row r="69" spans="1:15" x14ac:dyDescent="0.35">
      <c r="A69" s="3">
        <v>3</v>
      </c>
      <c r="B69" s="4">
        <v>0.82291666666666696</v>
      </c>
      <c r="C69" s="3">
        <v>2231</v>
      </c>
      <c r="D69" s="3">
        <v>2</v>
      </c>
      <c r="E69" s="3">
        <v>2</v>
      </c>
      <c r="F69" s="3">
        <v>16.940000000000001</v>
      </c>
      <c r="G69" s="5">
        <v>5.8500000000000005</v>
      </c>
      <c r="H69" s="6">
        <v>71.47141915275742</v>
      </c>
      <c r="I69" s="7">
        <v>60.977961867900135</v>
      </c>
      <c r="J69" s="7">
        <v>22.118051790931943</v>
      </c>
      <c r="K69" s="8">
        <f t="shared" si="1"/>
        <v>2.7569318692390508</v>
      </c>
      <c r="L69" s="7">
        <v>13.399372281802274</v>
      </c>
      <c r="M69" s="7">
        <v>0.90398592113002052</v>
      </c>
      <c r="N69" s="7">
        <v>1.4400235328391908</v>
      </c>
      <c r="O69" s="7">
        <v>1.1606046053964481</v>
      </c>
    </row>
    <row r="70" spans="1:15" x14ac:dyDescent="0.35">
      <c r="A70" s="3">
        <v>3</v>
      </c>
      <c r="B70" s="4">
        <v>0.9375</v>
      </c>
      <c r="C70" s="3">
        <v>2231</v>
      </c>
      <c r="D70" s="3">
        <v>2</v>
      </c>
      <c r="E70" s="3">
        <v>2</v>
      </c>
      <c r="F70" s="3">
        <v>13.59</v>
      </c>
      <c r="G70" s="5">
        <v>5.3433333333333337</v>
      </c>
      <c r="H70" s="6">
        <v>72.443503870036437</v>
      </c>
      <c r="I70" s="7">
        <v>60.612266801535299</v>
      </c>
      <c r="J70" s="7">
        <v>20.896071167124276</v>
      </c>
      <c r="K70" s="8">
        <f t="shared" si="1"/>
        <v>2.900653731352925</v>
      </c>
      <c r="L70" s="7">
        <v>14.864453603896061</v>
      </c>
      <c r="M70" s="7">
        <v>0.91561814625865001</v>
      </c>
      <c r="N70" s="7">
        <v>1.5710573085820474</v>
      </c>
      <c r="O70" s="7">
        <v>1.1405329726036686</v>
      </c>
    </row>
    <row r="71" spans="1:15" x14ac:dyDescent="0.35">
      <c r="A71" s="3">
        <v>3</v>
      </c>
      <c r="B71" s="4">
        <v>3.125E-2</v>
      </c>
      <c r="C71" s="3">
        <v>2231</v>
      </c>
      <c r="D71" s="3">
        <v>2</v>
      </c>
      <c r="E71" s="3">
        <v>2</v>
      </c>
      <c r="F71" s="3">
        <v>5.94</v>
      </c>
      <c r="G71" s="5">
        <v>5.8266666666666671</v>
      </c>
      <c r="H71" s="6">
        <v>64.894151866981005</v>
      </c>
      <c r="I71" s="7">
        <v>60.780038195426215</v>
      </c>
      <c r="J71" s="7">
        <v>20.97647085372537</v>
      </c>
      <c r="K71" s="8">
        <f t="shared" si="1"/>
        <v>2.8975340332156887</v>
      </c>
      <c r="L71" s="7">
        <v>14.08054433392785</v>
      </c>
      <c r="M71" s="7">
        <v>1.1008595505034791</v>
      </c>
      <c r="N71" s="7">
        <v>1.6231690037161319</v>
      </c>
      <c r="O71" s="7">
        <v>1.4389180627009641</v>
      </c>
    </row>
    <row r="72" spans="1:15" x14ac:dyDescent="0.35">
      <c r="A72" s="3">
        <v>3</v>
      </c>
      <c r="B72" s="4">
        <v>0.27083333333333331</v>
      </c>
      <c r="C72" s="3">
        <v>2243</v>
      </c>
      <c r="D72" s="3">
        <v>1</v>
      </c>
      <c r="E72" s="3">
        <v>2</v>
      </c>
      <c r="F72" s="3">
        <v>8.3699999999999992</v>
      </c>
      <c r="G72" s="5">
        <v>6.5266666666666664</v>
      </c>
      <c r="H72" s="6">
        <v>68.289572161496366</v>
      </c>
      <c r="I72" s="7">
        <v>69.183091028103135</v>
      </c>
      <c r="J72" s="7">
        <v>15.061397137098313</v>
      </c>
      <c r="K72" s="8">
        <f t="shared" si="1"/>
        <v>4.5934046090382665</v>
      </c>
      <c r="L72" s="7">
        <v>13.049064177378714</v>
      </c>
      <c r="M72" s="7">
        <v>0.83958245268895615</v>
      </c>
      <c r="N72" s="7">
        <v>0.88360867228696804</v>
      </c>
      <c r="O72" s="7">
        <v>0.9832565324439182</v>
      </c>
    </row>
    <row r="73" spans="1:15" x14ac:dyDescent="0.35">
      <c r="A73" s="3">
        <v>3</v>
      </c>
      <c r="B73" s="4">
        <v>0.45833333333333331</v>
      </c>
      <c r="C73" s="3">
        <v>2243</v>
      </c>
      <c r="D73" s="3">
        <v>1</v>
      </c>
      <c r="E73" s="3">
        <v>2</v>
      </c>
      <c r="F73" s="3">
        <v>18.239999999999998</v>
      </c>
      <c r="G73" s="5">
        <v>6.2666666666666666</v>
      </c>
      <c r="H73" s="6">
        <v>69.799409656824068</v>
      </c>
      <c r="I73" s="7">
        <v>61.861586685151678</v>
      </c>
      <c r="J73" s="7">
        <v>19.080249356860644</v>
      </c>
      <c r="K73" s="8">
        <f t="shared" si="1"/>
        <v>3.2421791522817935</v>
      </c>
      <c r="L73" s="7">
        <v>13.411720302452412</v>
      </c>
      <c r="M73" s="7">
        <v>1.3130808387913464</v>
      </c>
      <c r="N73" s="7">
        <v>2.1835524500052608</v>
      </c>
      <c r="O73" s="7">
        <v>2.1498103667386439</v>
      </c>
    </row>
    <row r="74" spans="1:15" x14ac:dyDescent="0.35">
      <c r="A74" s="3">
        <v>3</v>
      </c>
      <c r="B74" s="4">
        <v>0.58333333333333304</v>
      </c>
      <c r="C74" s="3">
        <v>2243</v>
      </c>
      <c r="D74" s="3">
        <v>1</v>
      </c>
      <c r="E74" s="3">
        <v>2</v>
      </c>
      <c r="F74" s="3">
        <v>3.41</v>
      </c>
      <c r="G74" s="5">
        <v>6.2700000000000005</v>
      </c>
      <c r="H74" s="6">
        <v>59.256001986205035</v>
      </c>
      <c r="I74" s="7">
        <v>62.283139584206836</v>
      </c>
      <c r="J74" s="7">
        <v>19.240757745217504</v>
      </c>
      <c r="K74" s="8">
        <f t="shared" si="1"/>
        <v>3.2370419298942621</v>
      </c>
      <c r="L74" s="7">
        <v>14.856621839161416</v>
      </c>
      <c r="M74" s="7">
        <v>0.9642967727840549</v>
      </c>
      <c r="N74" s="7">
        <v>1.4378255494393917</v>
      </c>
      <c r="O74" s="7">
        <v>1.2173585091908012</v>
      </c>
    </row>
    <row r="75" spans="1:15" x14ac:dyDescent="0.35">
      <c r="A75" s="3">
        <v>3</v>
      </c>
      <c r="B75" s="4">
        <v>0.6875</v>
      </c>
      <c r="C75" s="3">
        <v>2243</v>
      </c>
      <c r="D75" s="3">
        <v>1</v>
      </c>
      <c r="E75" s="3">
        <v>2</v>
      </c>
      <c r="F75" s="3">
        <v>11.32</v>
      </c>
      <c r="G75" s="5">
        <v>5.9033333333333333</v>
      </c>
      <c r="H75" s="6">
        <v>93.033231129011583</v>
      </c>
      <c r="I75" s="7">
        <v>62.523902608064432</v>
      </c>
      <c r="J75" s="7">
        <v>18.98847733865443</v>
      </c>
      <c r="K75" s="8">
        <f t="shared" si="1"/>
        <v>3.2927286107762774</v>
      </c>
      <c r="L75" s="7">
        <v>15.406718132959982</v>
      </c>
      <c r="M75" s="7">
        <v>0.82429612580556866</v>
      </c>
      <c r="N75" s="7">
        <v>1.30872859491893</v>
      </c>
      <c r="O75" s="7">
        <v>0.94787719959665995</v>
      </c>
    </row>
    <row r="76" spans="1:15" x14ac:dyDescent="0.35">
      <c r="A76" s="3">
        <v>3</v>
      </c>
      <c r="B76" s="4">
        <v>0.82291666666666663</v>
      </c>
      <c r="C76" s="3">
        <v>2243</v>
      </c>
      <c r="D76" s="3">
        <v>1</v>
      </c>
      <c r="E76" s="3">
        <v>2</v>
      </c>
      <c r="F76" s="3">
        <v>13.23</v>
      </c>
      <c r="G76" s="5">
        <v>5.57</v>
      </c>
      <c r="H76" s="6">
        <v>74.721242301466745</v>
      </c>
      <c r="I76" s="7">
        <v>56.850895820385439</v>
      </c>
      <c r="J76" s="7">
        <v>23.30195575405568</v>
      </c>
      <c r="K76" s="8">
        <f t="shared" si="1"/>
        <v>2.4397478229049767</v>
      </c>
      <c r="L76" s="7">
        <v>16.022822842829296</v>
      </c>
      <c r="M76" s="7">
        <v>0.82974057577070093</v>
      </c>
      <c r="N76" s="7">
        <v>1.8550219308437099</v>
      </c>
      <c r="O76" s="7">
        <v>1.1395630761151787</v>
      </c>
    </row>
    <row r="77" spans="1:15" x14ac:dyDescent="0.35">
      <c r="A77" s="3">
        <v>3</v>
      </c>
      <c r="B77" s="4">
        <v>0.9375</v>
      </c>
      <c r="C77" s="3">
        <v>2243</v>
      </c>
      <c r="D77" s="3">
        <v>1</v>
      </c>
      <c r="E77" s="3">
        <v>2</v>
      </c>
      <c r="F77" s="3">
        <v>32.08</v>
      </c>
      <c r="G77" s="5">
        <v>5.5966666666666667</v>
      </c>
      <c r="H77" s="6"/>
      <c r="I77" s="7">
        <v>60.716998471184667</v>
      </c>
      <c r="J77" s="7">
        <v>20.450395558005301</v>
      </c>
      <c r="K77" s="8">
        <f t="shared" si="1"/>
        <v>2.9689889517768773</v>
      </c>
      <c r="L77" s="7">
        <v>15.205298492917677</v>
      </c>
      <c r="M77" s="7">
        <v>0.81873212237832338</v>
      </c>
      <c r="N77" s="7">
        <v>1.7023060328432698</v>
      </c>
      <c r="O77" s="7">
        <v>1.1062693226707714</v>
      </c>
    </row>
    <row r="78" spans="1:15" x14ac:dyDescent="0.35">
      <c r="A78" s="3">
        <v>3</v>
      </c>
      <c r="B78" s="4">
        <v>3.125E-2</v>
      </c>
      <c r="C78" s="3">
        <v>2243</v>
      </c>
      <c r="D78" s="3">
        <v>1</v>
      </c>
      <c r="E78" s="3">
        <v>2</v>
      </c>
      <c r="F78" s="3">
        <v>11.52</v>
      </c>
      <c r="G78" s="5">
        <v>5.5</v>
      </c>
      <c r="H78" s="6">
        <v>88.650397547960523</v>
      </c>
      <c r="I78" s="7">
        <v>60.405239887949556</v>
      </c>
      <c r="J78" s="7">
        <v>20.601417136902914</v>
      </c>
      <c r="K78" s="8">
        <f t="shared" si="1"/>
        <v>2.932091490917236</v>
      </c>
      <c r="L78" s="7">
        <v>14.559161595476681</v>
      </c>
      <c r="M78" s="7">
        <v>1.0319827085434579</v>
      </c>
      <c r="N78" s="7">
        <v>1.8770075574769944</v>
      </c>
      <c r="O78" s="7">
        <v>1.5251911136503895</v>
      </c>
    </row>
    <row r="79" spans="1:15" x14ac:dyDescent="0.35">
      <c r="A79" s="3">
        <v>3</v>
      </c>
      <c r="B79" s="4">
        <v>0.27083333333333331</v>
      </c>
      <c r="C79" s="3">
        <v>5182</v>
      </c>
      <c r="D79" s="3">
        <v>2</v>
      </c>
      <c r="E79" s="3">
        <v>1</v>
      </c>
      <c r="F79" s="3">
        <v>8.07</v>
      </c>
      <c r="G79" s="5">
        <v>6.1400000000000006</v>
      </c>
      <c r="H79" s="6"/>
      <c r="I79" s="7">
        <v>53.946592015156384</v>
      </c>
      <c r="J79" s="7">
        <v>25.569673718969316</v>
      </c>
      <c r="K79" s="8">
        <f t="shared" si="1"/>
        <v>2.109788048454257</v>
      </c>
      <c r="L79" s="7">
        <v>13.144062691172484</v>
      </c>
      <c r="M79" s="7">
        <v>1.8893820751572983</v>
      </c>
      <c r="N79" s="7">
        <v>2.8496002262969706</v>
      </c>
      <c r="O79" s="7">
        <v>2.6006892732475544</v>
      </c>
    </row>
    <row r="80" spans="1:15" x14ac:dyDescent="0.35">
      <c r="A80" s="3">
        <v>3</v>
      </c>
      <c r="B80" s="4">
        <v>0.45833333333333298</v>
      </c>
      <c r="C80" s="3">
        <v>5182</v>
      </c>
      <c r="D80" s="3">
        <v>2</v>
      </c>
      <c r="E80" s="3">
        <v>1</v>
      </c>
      <c r="F80" s="3">
        <v>1.99</v>
      </c>
      <c r="G80" s="5">
        <v>6.3733333333333322</v>
      </c>
      <c r="H80" s="6">
        <v>64.991176094265981</v>
      </c>
      <c r="I80" s="7">
        <v>64.104977656439004</v>
      </c>
      <c r="J80" s="7">
        <v>21.799141530378833</v>
      </c>
      <c r="K80" s="8">
        <f t="shared" si="1"/>
        <v>2.940711108605063</v>
      </c>
      <c r="L80" s="7">
        <v>9.6668380542657619</v>
      </c>
      <c r="M80" s="7">
        <v>1.2055918471212044</v>
      </c>
      <c r="N80" s="7">
        <v>1.3395118067295677</v>
      </c>
      <c r="O80" s="7">
        <v>1.8839391050656331</v>
      </c>
    </row>
    <row r="81" spans="1:15" x14ac:dyDescent="0.35">
      <c r="A81" s="3">
        <v>3</v>
      </c>
      <c r="B81" s="4">
        <v>0.58333333333333337</v>
      </c>
      <c r="C81" s="3">
        <v>5182</v>
      </c>
      <c r="D81" s="3">
        <v>2</v>
      </c>
      <c r="E81" s="3">
        <v>1</v>
      </c>
      <c r="F81" s="3">
        <v>2.5099999999999998</v>
      </c>
      <c r="G81" s="5">
        <v>6.1800000000000006</v>
      </c>
      <c r="H81" s="6"/>
      <c r="I81" s="7">
        <v>58.210795640252691</v>
      </c>
      <c r="J81" s="7">
        <v>25.680922674586309</v>
      </c>
      <c r="K81" s="8">
        <f t="shared" si="1"/>
        <v>2.2666940895335412</v>
      </c>
      <c r="L81" s="7">
        <v>11.232567914305648</v>
      </c>
      <c r="M81" s="7">
        <v>1.3198756741484745</v>
      </c>
      <c r="N81" s="7">
        <v>1.4840679713818206</v>
      </c>
      <c r="O81" s="7">
        <v>2.0717701253250707</v>
      </c>
    </row>
    <row r="82" spans="1:15" x14ac:dyDescent="0.35">
      <c r="A82" s="3">
        <v>3</v>
      </c>
      <c r="B82" s="4">
        <v>0.6875</v>
      </c>
      <c r="C82" s="3">
        <v>5182</v>
      </c>
      <c r="D82" s="3">
        <v>2</v>
      </c>
      <c r="E82" s="3">
        <v>1</v>
      </c>
      <c r="F82" s="3">
        <v>10.88</v>
      </c>
      <c r="G82" s="5">
        <v>6.45</v>
      </c>
      <c r="H82" s="6">
        <v>84.292482864219622</v>
      </c>
      <c r="I82" s="7">
        <v>59.202120495306289</v>
      </c>
      <c r="J82" s="7">
        <v>22.819154685783086</v>
      </c>
      <c r="K82" s="8">
        <f t="shared" si="1"/>
        <v>2.5944046267494176</v>
      </c>
      <c r="L82" s="7">
        <v>12.160577615584927</v>
      </c>
      <c r="M82" s="7">
        <v>1.3999024474511097</v>
      </c>
      <c r="N82" s="7">
        <v>2.1502593445696347</v>
      </c>
      <c r="O82" s="7">
        <v>2.2679854113049518</v>
      </c>
    </row>
    <row r="83" spans="1:15" x14ac:dyDescent="0.35">
      <c r="A83" s="3">
        <v>3</v>
      </c>
      <c r="B83" s="4">
        <v>0.82291666666666663</v>
      </c>
      <c r="C83" s="3">
        <v>5182</v>
      </c>
      <c r="D83" s="3">
        <v>2</v>
      </c>
      <c r="E83" s="3">
        <v>1</v>
      </c>
      <c r="F83" s="3">
        <v>8.07</v>
      </c>
      <c r="G83" s="5">
        <v>5.3566666666666665</v>
      </c>
      <c r="H83" s="6">
        <v>86.247794031574415</v>
      </c>
      <c r="I83" s="7">
        <v>58.231470855782106</v>
      </c>
      <c r="J83" s="7">
        <v>24.848471866306181</v>
      </c>
      <c r="K83" s="8">
        <f t="shared" si="1"/>
        <v>2.343462856351433</v>
      </c>
      <c r="L83" s="7">
        <v>12.866931763916584</v>
      </c>
      <c r="M83" s="7">
        <v>1.0887377873494479</v>
      </c>
      <c r="N83" s="7">
        <v>1.3664845295296091</v>
      </c>
      <c r="O83" s="7">
        <v>1.5979031971160667</v>
      </c>
    </row>
    <row r="84" spans="1:15" x14ac:dyDescent="0.35">
      <c r="A84" s="3">
        <v>3</v>
      </c>
      <c r="B84" s="4">
        <v>0.9375</v>
      </c>
      <c r="C84" s="3">
        <v>5182</v>
      </c>
      <c r="D84" s="3">
        <v>2</v>
      </c>
      <c r="E84" s="3">
        <v>1</v>
      </c>
      <c r="F84" s="3">
        <v>5.28</v>
      </c>
      <c r="G84" s="5">
        <v>5.4466666666666663</v>
      </c>
      <c r="H84" s="6">
        <v>93.42072681500899</v>
      </c>
      <c r="I84" s="7">
        <v>61.159771189225296</v>
      </c>
      <c r="J84" s="7">
        <v>23.035458232863494</v>
      </c>
      <c r="K84" s="8">
        <f t="shared" si="1"/>
        <v>2.655027330950674</v>
      </c>
      <c r="L84" s="7">
        <v>11.818437140082002</v>
      </c>
      <c r="M84" s="7">
        <v>1.0574513379689823</v>
      </c>
      <c r="N84" s="7">
        <v>1.2991045315560483</v>
      </c>
      <c r="O84" s="7">
        <v>1.6297775683041829</v>
      </c>
    </row>
    <row r="85" spans="1:15" x14ac:dyDescent="0.35">
      <c r="A85" s="3">
        <v>3</v>
      </c>
      <c r="B85" s="4">
        <v>3.125E-2</v>
      </c>
      <c r="C85" s="3">
        <v>5182</v>
      </c>
      <c r="D85" s="3">
        <v>2</v>
      </c>
      <c r="E85" s="3">
        <v>1</v>
      </c>
      <c r="F85" s="3">
        <v>7.11</v>
      </c>
      <c r="G85" s="5">
        <v>5.28</v>
      </c>
      <c r="H85" s="6">
        <v>80.118884312319253</v>
      </c>
      <c r="I85" s="7">
        <v>61.265202687353629</v>
      </c>
      <c r="J85" s="7">
        <v>22.812557236119339</v>
      </c>
      <c r="K85" s="8">
        <f t="shared" si="1"/>
        <v>2.6855911879248615</v>
      </c>
      <c r="L85" s="7">
        <v>11.789844653204325</v>
      </c>
      <c r="M85" s="7">
        <v>1.0178100683363813</v>
      </c>
      <c r="N85" s="7">
        <v>1.4465562731803316</v>
      </c>
      <c r="O85" s="7">
        <v>1.6680290818060006</v>
      </c>
    </row>
    <row r="86" spans="1:15" x14ac:dyDescent="0.35">
      <c r="A86" s="3">
        <v>4</v>
      </c>
      <c r="B86" s="4">
        <v>0.27083333333333331</v>
      </c>
      <c r="C86" s="3">
        <v>1844</v>
      </c>
      <c r="D86" s="3">
        <v>1</v>
      </c>
      <c r="E86" s="3">
        <v>2</v>
      </c>
      <c r="F86" s="3">
        <v>2.82</v>
      </c>
      <c r="G86" s="5">
        <v>6.63</v>
      </c>
      <c r="H86" s="6"/>
      <c r="I86" s="7">
        <v>64.725342794821373</v>
      </c>
      <c r="J86" s="7">
        <v>21.247767360386081</v>
      </c>
      <c r="K86" s="8">
        <f t="shared" si="1"/>
        <v>3.0462185366117112</v>
      </c>
      <c r="L86" s="7">
        <v>10.307032023978795</v>
      </c>
      <c r="M86" s="7">
        <v>0.99254076104707012</v>
      </c>
      <c r="N86" s="7">
        <v>1.3539181906592483</v>
      </c>
      <c r="O86" s="7">
        <v>1.373398869107445</v>
      </c>
    </row>
    <row r="87" spans="1:15" x14ac:dyDescent="0.35">
      <c r="A87" s="3">
        <v>4</v>
      </c>
      <c r="B87" s="4">
        <v>0.45833333333333298</v>
      </c>
      <c r="C87" s="3">
        <v>1844</v>
      </c>
      <c r="D87" s="3">
        <v>1</v>
      </c>
      <c r="E87" s="3">
        <v>2</v>
      </c>
      <c r="F87" s="3">
        <v>4.84</v>
      </c>
      <c r="G87" s="5">
        <v>6.5933333333333337</v>
      </c>
      <c r="H87" s="6"/>
      <c r="I87" s="7">
        <v>62.407846543098486</v>
      </c>
      <c r="J87" s="7">
        <v>18.307324329923631</v>
      </c>
      <c r="K87" s="8">
        <f t="shared" si="1"/>
        <v>3.4089004716594116</v>
      </c>
      <c r="L87" s="7">
        <v>13.496299946897992</v>
      </c>
      <c r="M87" s="7">
        <v>1.4734052977837884</v>
      </c>
      <c r="N87" s="7">
        <v>2.2023271758852729</v>
      </c>
      <c r="O87" s="7">
        <v>2.1127967064108386</v>
      </c>
    </row>
    <row r="88" spans="1:15" x14ac:dyDescent="0.35">
      <c r="A88" s="3">
        <v>4</v>
      </c>
      <c r="B88" s="4">
        <v>0.58333333333333304</v>
      </c>
      <c r="C88" s="3">
        <v>1844</v>
      </c>
      <c r="D88" s="3">
        <v>1</v>
      </c>
      <c r="E88" s="3">
        <v>2</v>
      </c>
      <c r="F88" s="3">
        <v>2.64</v>
      </c>
      <c r="G88" s="5">
        <v>5.9633333333333338</v>
      </c>
      <c r="H88" s="6">
        <v>100.97337562314466</v>
      </c>
      <c r="I88" s="7">
        <v>63.133269804115024</v>
      </c>
      <c r="J88" s="7">
        <v>23.164166550143367</v>
      </c>
      <c r="K88" s="8">
        <f t="shared" si="1"/>
        <v>2.7254712431569992</v>
      </c>
      <c r="L88" s="7">
        <v>10.398654127686562</v>
      </c>
      <c r="M88" s="7">
        <v>0.83564441289349178</v>
      </c>
      <c r="N88" s="7">
        <v>1.3194096509341935</v>
      </c>
      <c r="O88" s="7">
        <v>1.1488554542273803</v>
      </c>
    </row>
    <row r="89" spans="1:15" x14ac:dyDescent="0.35">
      <c r="A89" s="3">
        <v>4</v>
      </c>
      <c r="B89" s="4">
        <v>0.6875</v>
      </c>
      <c r="C89" s="3">
        <v>1844</v>
      </c>
      <c r="D89" s="3">
        <v>1</v>
      </c>
      <c r="E89" s="3">
        <v>2</v>
      </c>
      <c r="F89" s="3">
        <v>5.64</v>
      </c>
      <c r="G89" s="5">
        <v>6</v>
      </c>
      <c r="H89" s="6">
        <v>62.816657205038958</v>
      </c>
      <c r="I89" s="7">
        <v>65.694676699417997</v>
      </c>
      <c r="J89" s="7">
        <v>20.713426546797614</v>
      </c>
      <c r="K89" s="8">
        <f t="shared" si="1"/>
        <v>3.1715986995678742</v>
      </c>
      <c r="L89" s="7">
        <v>10.378615415517247</v>
      </c>
      <c r="M89" s="7">
        <v>0.89549323321530483</v>
      </c>
      <c r="N89" s="7">
        <v>1.218065107833965</v>
      </c>
      <c r="O89" s="7">
        <v>1.0997229972178619</v>
      </c>
    </row>
    <row r="90" spans="1:15" x14ac:dyDescent="0.35">
      <c r="A90" s="3">
        <v>4</v>
      </c>
      <c r="B90" s="4">
        <v>0.82291666666666696</v>
      </c>
      <c r="C90" s="3">
        <v>1844</v>
      </c>
      <c r="D90" s="3">
        <v>1</v>
      </c>
      <c r="E90" s="3">
        <v>2</v>
      </c>
      <c r="F90" s="3">
        <v>14.47</v>
      </c>
      <c r="G90" s="5">
        <v>4.76</v>
      </c>
      <c r="H90" s="6">
        <v>116.35473092530225</v>
      </c>
      <c r="I90" s="7">
        <v>58.969884810864336</v>
      </c>
      <c r="J90" s="7">
        <v>24.710259485145169</v>
      </c>
      <c r="K90" s="8">
        <f t="shared" si="1"/>
        <v>2.3864534828666892</v>
      </c>
      <c r="L90" s="7">
        <v>13.209319462572786</v>
      </c>
      <c r="M90" s="7">
        <v>0.70107653955253368</v>
      </c>
      <c r="N90" s="7">
        <v>1.3667921964466083</v>
      </c>
      <c r="O90" s="7">
        <v>1.0426675054185712</v>
      </c>
    </row>
    <row r="91" spans="1:15" x14ac:dyDescent="0.35">
      <c r="A91" s="3">
        <v>4</v>
      </c>
      <c r="B91" s="4">
        <v>0.9375</v>
      </c>
      <c r="C91" s="3">
        <v>1844</v>
      </c>
      <c r="D91" s="3">
        <v>1</v>
      </c>
      <c r="E91" s="3">
        <v>2</v>
      </c>
      <c r="F91" s="3">
        <v>16.940000000000001</v>
      </c>
      <c r="G91" s="5">
        <v>5.0100000000000007</v>
      </c>
      <c r="H91" s="6">
        <v>95.870014706679584</v>
      </c>
      <c r="I91" s="7">
        <v>63.632020904345573</v>
      </c>
      <c r="J91" s="7">
        <v>20.167347920097555</v>
      </c>
      <c r="K91" s="8">
        <f t="shared" si="1"/>
        <v>3.1552002353732274</v>
      </c>
      <c r="L91" s="7">
        <v>13.127700813902097</v>
      </c>
      <c r="M91" s="7">
        <v>0.81293778103304781</v>
      </c>
      <c r="N91" s="7">
        <v>1.2246000778227073</v>
      </c>
      <c r="O91" s="7">
        <v>1.0353925027990307</v>
      </c>
    </row>
    <row r="92" spans="1:15" x14ac:dyDescent="0.35">
      <c r="A92" s="3">
        <v>4</v>
      </c>
      <c r="B92" s="4">
        <v>3.125E-2</v>
      </c>
      <c r="C92" s="3">
        <v>1844</v>
      </c>
      <c r="D92" s="3">
        <v>1</v>
      </c>
      <c r="E92" s="3">
        <v>2</v>
      </c>
      <c r="F92" s="3">
        <v>8.6</v>
      </c>
      <c r="G92" s="5">
        <v>5.2433333333333332</v>
      </c>
      <c r="H92" s="6">
        <v>124.2533216136586</v>
      </c>
      <c r="I92" s="7">
        <v>62.085849365411228</v>
      </c>
      <c r="J92" s="7">
        <v>21.39112783340525</v>
      </c>
      <c r="K92" s="8">
        <f t="shared" si="1"/>
        <v>2.9024112168810219</v>
      </c>
      <c r="L92" s="7">
        <v>13.093099587518491</v>
      </c>
      <c r="M92" s="7">
        <v>0.76376849512909617</v>
      </c>
      <c r="N92" s="7">
        <v>1.479804658702089</v>
      </c>
      <c r="O92" s="7">
        <v>1.1863500598338357</v>
      </c>
    </row>
    <row r="93" spans="1:15" x14ac:dyDescent="0.35">
      <c r="A93" s="3">
        <v>4</v>
      </c>
      <c r="B93" s="4">
        <v>0.27083333333333298</v>
      </c>
      <c r="C93" s="3">
        <v>2231</v>
      </c>
      <c r="D93" s="3">
        <v>2</v>
      </c>
      <c r="E93" s="3">
        <v>1</v>
      </c>
      <c r="F93" s="3">
        <v>4.6100000000000003</v>
      </c>
      <c r="G93" s="5">
        <v>6.6400000000000006</v>
      </c>
      <c r="H93" s="6"/>
      <c r="I93" s="7">
        <v>65.459962020873263</v>
      </c>
      <c r="J93" s="7">
        <v>15.670184258179765</v>
      </c>
      <c r="K93" s="8">
        <f t="shared" si="1"/>
        <v>4.1773575180970486</v>
      </c>
      <c r="L93" s="7">
        <v>15.076205393187822</v>
      </c>
      <c r="M93" s="7">
        <v>1.2301106031737603</v>
      </c>
      <c r="N93" s="7">
        <v>1.0962009092495308</v>
      </c>
      <c r="O93" s="7">
        <v>1.4673368153358695</v>
      </c>
    </row>
    <row r="94" spans="1:15" x14ac:dyDescent="0.35">
      <c r="A94" s="3">
        <v>4</v>
      </c>
      <c r="B94" s="4">
        <v>0.45833333333333298</v>
      </c>
      <c r="C94" s="3">
        <v>2231</v>
      </c>
      <c r="D94" s="3">
        <v>2</v>
      </c>
      <c r="E94" s="3">
        <v>1</v>
      </c>
      <c r="F94" s="3">
        <v>2.64</v>
      </c>
      <c r="G94" s="5">
        <v>6.07</v>
      </c>
      <c r="H94" s="6"/>
      <c r="I94" s="7">
        <v>66.661223306210374</v>
      </c>
      <c r="J94" s="7">
        <v>15.971342773425373</v>
      </c>
      <c r="K94" s="8">
        <f t="shared" si="1"/>
        <v>4.1738020560880829</v>
      </c>
      <c r="L94" s="7">
        <v>13.235301329110486</v>
      </c>
      <c r="M94" s="7">
        <v>1.0956379916493861</v>
      </c>
      <c r="N94" s="7">
        <v>1.4753546391439019</v>
      </c>
      <c r="O94" s="7">
        <v>1.5611399604604788</v>
      </c>
    </row>
    <row r="95" spans="1:15" x14ac:dyDescent="0.35">
      <c r="A95" s="3">
        <v>4</v>
      </c>
      <c r="B95" s="4">
        <v>0.58333333333333304</v>
      </c>
      <c r="C95" s="3">
        <v>2231</v>
      </c>
      <c r="D95" s="3">
        <v>2</v>
      </c>
      <c r="E95" s="3">
        <v>1</v>
      </c>
      <c r="F95" s="3">
        <v>11.06</v>
      </c>
      <c r="G95" s="5">
        <v>5.5633333333333335</v>
      </c>
      <c r="H95" s="6">
        <v>79.119618381138139</v>
      </c>
      <c r="I95" s="7">
        <v>65.286130087681599</v>
      </c>
      <c r="J95" s="7">
        <v>17.90485413554909</v>
      </c>
      <c r="K95" s="8">
        <f t="shared" si="1"/>
        <v>3.6462810360493036</v>
      </c>
      <c r="L95" s="7">
        <v>13.546248321959803</v>
      </c>
      <c r="M95" s="7">
        <v>0.93030045413310447</v>
      </c>
      <c r="N95" s="7">
        <v>1.217385658359756</v>
      </c>
      <c r="O95" s="7">
        <v>1.1150813423166464</v>
      </c>
    </row>
    <row r="96" spans="1:15" x14ac:dyDescent="0.35">
      <c r="A96" s="3">
        <v>4</v>
      </c>
      <c r="B96" s="4">
        <v>0.6875</v>
      </c>
      <c r="C96" s="3">
        <v>2231</v>
      </c>
      <c r="D96" s="3">
        <v>2</v>
      </c>
      <c r="E96" s="3">
        <v>1</v>
      </c>
      <c r="F96" s="3">
        <v>6.05</v>
      </c>
      <c r="G96" s="5">
        <v>6.1499999999999995</v>
      </c>
      <c r="H96" s="6">
        <v>52.968749307237807</v>
      </c>
      <c r="I96" s="7">
        <v>67.743021878094197</v>
      </c>
      <c r="J96" s="7">
        <v>16.739687042490623</v>
      </c>
      <c r="K96" s="8">
        <f t="shared" si="1"/>
        <v>4.0468511571417656</v>
      </c>
      <c r="L96" s="7">
        <v>12.622461756682466</v>
      </c>
      <c r="M96" s="7">
        <v>0.83711068754724471</v>
      </c>
      <c r="N96" s="7">
        <v>1.1084182512932952</v>
      </c>
      <c r="O96" s="7">
        <v>0.94930038389216509</v>
      </c>
    </row>
    <row r="97" spans="1:15" x14ac:dyDescent="0.35">
      <c r="A97" s="3">
        <v>4</v>
      </c>
      <c r="B97" s="4">
        <v>0.82291666666666663</v>
      </c>
      <c r="C97" s="3">
        <v>2231</v>
      </c>
      <c r="D97" s="3">
        <v>2</v>
      </c>
      <c r="E97" s="3">
        <v>1</v>
      </c>
      <c r="F97" s="3">
        <v>25.23</v>
      </c>
      <c r="G97" s="5">
        <v>5.29</v>
      </c>
      <c r="H97" s="6">
        <v>106.05723522250115</v>
      </c>
      <c r="I97" s="7">
        <v>64.717239170474102</v>
      </c>
      <c r="J97" s="7">
        <v>18.509163482409679</v>
      </c>
      <c r="K97" s="8">
        <f t="shared" si="1"/>
        <v>3.496497247537881</v>
      </c>
      <c r="L97" s="7">
        <v>13.798392893907693</v>
      </c>
      <c r="M97" s="7">
        <v>0.7940169947810003</v>
      </c>
      <c r="N97" s="7">
        <v>1.1834158864231339</v>
      </c>
      <c r="O97" s="7">
        <v>0.99777157200440159</v>
      </c>
    </row>
    <row r="98" spans="1:15" x14ac:dyDescent="0.35">
      <c r="A98" s="3">
        <v>4</v>
      </c>
      <c r="B98" s="4">
        <v>0.9375</v>
      </c>
      <c r="C98" s="3">
        <v>2231</v>
      </c>
      <c r="D98" s="3">
        <v>2</v>
      </c>
      <c r="E98" s="3">
        <v>1</v>
      </c>
      <c r="F98" s="3">
        <v>4.71</v>
      </c>
      <c r="G98" s="5">
        <v>4.76</v>
      </c>
      <c r="H98" s="6">
        <v>127.6456336777222</v>
      </c>
      <c r="I98" s="7">
        <v>61.874889865931351</v>
      </c>
      <c r="J98" s="7">
        <v>20.867936501160685</v>
      </c>
      <c r="K98" s="8">
        <f t="shared" si="1"/>
        <v>2.9650698746610544</v>
      </c>
      <c r="L98" s="7">
        <v>13.802256408614403</v>
      </c>
      <c r="M98" s="7">
        <v>0.78066585370637709</v>
      </c>
      <c r="N98" s="7">
        <v>1.4884771004903794</v>
      </c>
      <c r="O98" s="7">
        <v>1.1857742700968139</v>
      </c>
    </row>
    <row r="99" spans="1:15" x14ac:dyDescent="0.35">
      <c r="A99" s="3">
        <v>4</v>
      </c>
      <c r="B99" s="4">
        <v>3.125E-2</v>
      </c>
      <c r="C99" s="3">
        <v>2231</v>
      </c>
      <c r="D99" s="3">
        <v>2</v>
      </c>
      <c r="E99" s="3">
        <v>1</v>
      </c>
      <c r="F99" s="3">
        <v>4.97</v>
      </c>
      <c r="G99" s="5">
        <v>4.75</v>
      </c>
      <c r="H99" s="6">
        <v>130.95366490244484</v>
      </c>
      <c r="I99" s="7">
        <v>57.900883385346468</v>
      </c>
      <c r="J99" s="7">
        <v>26.032949550669436</v>
      </c>
      <c r="K99" s="8">
        <f t="shared" si="1"/>
        <v>2.2241384239865187</v>
      </c>
      <c r="L99" s="7">
        <v>12.946593138002779</v>
      </c>
      <c r="M99" s="7">
        <v>0.72680991816279117</v>
      </c>
      <c r="N99" s="7">
        <v>1.3705348601833338</v>
      </c>
      <c r="O99" s="7">
        <v>1.0222291476351948</v>
      </c>
    </row>
    <row r="100" spans="1:15" x14ac:dyDescent="0.35">
      <c r="A100" s="3">
        <v>4</v>
      </c>
      <c r="B100" s="4">
        <v>0.27083333333333331</v>
      </c>
      <c r="C100" s="3">
        <v>2243</v>
      </c>
      <c r="D100" s="3">
        <v>1</v>
      </c>
      <c r="E100" s="3">
        <v>1</v>
      </c>
      <c r="F100" s="3">
        <v>1.79</v>
      </c>
      <c r="G100" s="5">
        <v>6.413333333333334</v>
      </c>
      <c r="H100" s="6">
        <v>58.304438061388431</v>
      </c>
      <c r="I100" s="7">
        <v>67.075966791195114</v>
      </c>
      <c r="J100" s="7">
        <v>15.598671938044181</v>
      </c>
      <c r="K100" s="8">
        <f t="shared" si="1"/>
        <v>4.300107538488648</v>
      </c>
      <c r="L100" s="7">
        <v>13.579674424173763</v>
      </c>
      <c r="M100" s="7">
        <v>1.1505169069770806</v>
      </c>
      <c r="N100" s="7">
        <v>1.1368354366581359</v>
      </c>
      <c r="O100" s="7">
        <v>1.4583345029517332</v>
      </c>
    </row>
    <row r="101" spans="1:15" x14ac:dyDescent="0.35">
      <c r="A101" s="3">
        <v>4</v>
      </c>
      <c r="B101" s="4">
        <v>0.45833333333333331</v>
      </c>
      <c r="C101" s="3">
        <v>2243</v>
      </c>
      <c r="D101" s="3">
        <v>1</v>
      </c>
      <c r="E101" s="3">
        <v>1</v>
      </c>
      <c r="F101" s="3">
        <v>6.64</v>
      </c>
      <c r="G101" s="5">
        <v>6.5333333333333341</v>
      </c>
      <c r="H101" s="6"/>
      <c r="I101" s="7">
        <v>65.719947181809772</v>
      </c>
      <c r="J101" s="7">
        <v>16.987828816757442</v>
      </c>
      <c r="K101" s="8">
        <f t="shared" si="1"/>
        <v>3.8686490128144633</v>
      </c>
      <c r="L101" s="7">
        <v>12.540675798558592</v>
      </c>
      <c r="M101" s="7">
        <v>1.2861967244601158</v>
      </c>
      <c r="N101" s="7">
        <v>1.6959237830457667</v>
      </c>
      <c r="O101" s="7">
        <v>1.7694276953683048</v>
      </c>
    </row>
    <row r="102" spans="1:15" x14ac:dyDescent="0.35">
      <c r="A102" s="3">
        <v>4</v>
      </c>
      <c r="B102" s="4">
        <v>0.58333333333333337</v>
      </c>
      <c r="C102" s="3">
        <v>2243</v>
      </c>
      <c r="D102" s="3">
        <v>1</v>
      </c>
      <c r="E102" s="3">
        <v>1</v>
      </c>
      <c r="F102" s="3">
        <v>1.55</v>
      </c>
      <c r="G102" s="5">
        <v>5.5433333333333339</v>
      </c>
      <c r="H102" s="6">
        <v>64.11618825498887</v>
      </c>
      <c r="I102" s="7">
        <v>65.196928303619046</v>
      </c>
      <c r="J102" s="7">
        <v>21.577906510891573</v>
      </c>
      <c r="K102" s="8">
        <f t="shared" si="1"/>
        <v>3.0214668077605453</v>
      </c>
      <c r="L102" s="7">
        <v>9.1424893606474704</v>
      </c>
      <c r="M102" s="7">
        <v>1.0397337793303156</v>
      </c>
      <c r="N102" s="7">
        <v>1.6119758146555454</v>
      </c>
      <c r="O102" s="7">
        <v>1.4309662308560407</v>
      </c>
    </row>
    <row r="103" spans="1:15" x14ac:dyDescent="0.35">
      <c r="A103" s="3">
        <v>4</v>
      </c>
      <c r="B103" s="4">
        <v>0.6875</v>
      </c>
      <c r="C103" s="3">
        <v>2243</v>
      </c>
      <c r="D103" s="3">
        <v>1</v>
      </c>
      <c r="E103" s="3">
        <v>1</v>
      </c>
      <c r="F103" s="3">
        <v>15.08</v>
      </c>
      <c r="G103" s="5">
        <v>5.6166666666666663</v>
      </c>
      <c r="H103" s="6"/>
      <c r="I103" s="7">
        <v>10.859849703779297</v>
      </c>
      <c r="J103" s="7">
        <v>43.988575766068912</v>
      </c>
      <c r="K103" s="8">
        <f t="shared" si="1"/>
        <v>0.24687886603858097</v>
      </c>
      <c r="L103" s="7">
        <v>35.759782718435829</v>
      </c>
      <c r="M103" s="7">
        <v>2.7453598386524338</v>
      </c>
      <c r="N103" s="7">
        <v>3.4367108958835915</v>
      </c>
      <c r="O103" s="7">
        <v>3.2097210771799451</v>
      </c>
    </row>
    <row r="104" spans="1:15" x14ac:dyDescent="0.35">
      <c r="A104" s="3">
        <v>4</v>
      </c>
      <c r="B104" s="4">
        <v>0.82291666666666663</v>
      </c>
      <c r="C104" s="3">
        <v>2243</v>
      </c>
      <c r="D104" s="3">
        <v>1</v>
      </c>
      <c r="E104" s="3">
        <v>1</v>
      </c>
      <c r="F104" s="3">
        <v>26.05</v>
      </c>
      <c r="G104" s="5">
        <v>5.2766666666666664</v>
      </c>
      <c r="H104" s="6">
        <v>87.816195203092676</v>
      </c>
      <c r="I104" s="7">
        <v>62.261285357648653</v>
      </c>
      <c r="J104" s="7">
        <v>19.714754831336759</v>
      </c>
      <c r="K104" s="8">
        <f t="shared" si="1"/>
        <v>3.1581059916953089</v>
      </c>
      <c r="L104" s="7">
        <v>13.959063988709167</v>
      </c>
      <c r="M104" s="7">
        <v>1.037675706114163</v>
      </c>
      <c r="N104" s="7">
        <v>1.5638404109037412</v>
      </c>
      <c r="O104" s="7">
        <v>1.4633797052875179</v>
      </c>
    </row>
    <row r="105" spans="1:15" x14ac:dyDescent="0.35">
      <c r="A105" s="3">
        <v>4</v>
      </c>
      <c r="B105" s="4">
        <v>0.9375</v>
      </c>
      <c r="C105" s="3">
        <v>2243</v>
      </c>
      <c r="D105" s="3">
        <v>1</v>
      </c>
      <c r="E105" s="3">
        <v>1</v>
      </c>
      <c r="F105" s="3">
        <v>3.11</v>
      </c>
      <c r="G105" s="5">
        <v>4.9899999999999993</v>
      </c>
      <c r="H105" s="6">
        <v>126.63525596703217</v>
      </c>
      <c r="I105" s="7">
        <v>64.659472915595245</v>
      </c>
      <c r="J105" s="7">
        <v>19.284984962831761</v>
      </c>
      <c r="K105" s="8">
        <f t="shared" si="1"/>
        <v>3.352840203931422</v>
      </c>
      <c r="L105" s="7">
        <v>13.065048744960404</v>
      </c>
      <c r="M105" s="7">
        <v>0.78952553009083748</v>
      </c>
      <c r="N105" s="7">
        <v>1.20386640972026</v>
      </c>
      <c r="O105" s="7">
        <v>0.99710143680148811</v>
      </c>
    </row>
    <row r="106" spans="1:15" x14ac:dyDescent="0.35">
      <c r="A106" s="3">
        <v>4</v>
      </c>
      <c r="B106" s="4">
        <v>3.125E-2</v>
      </c>
      <c r="C106" s="3">
        <v>2243</v>
      </c>
      <c r="D106" s="3">
        <v>1</v>
      </c>
      <c r="E106" s="3">
        <v>1</v>
      </c>
      <c r="F106" s="3">
        <v>4.63</v>
      </c>
      <c r="G106" s="5">
        <v>5.1333333333333329</v>
      </c>
      <c r="H106" s="6">
        <v>110.95985988818465</v>
      </c>
      <c r="I106" s="7">
        <v>55.079424149245916</v>
      </c>
      <c r="J106" s="7">
        <v>27.945545404840306</v>
      </c>
      <c r="K106" s="8">
        <f t="shared" si="1"/>
        <v>1.9709554188806739</v>
      </c>
      <c r="L106" s="7">
        <v>13.335315087231528</v>
      </c>
      <c r="M106" s="7">
        <v>0.83375179542308409</v>
      </c>
      <c r="N106" s="7">
        <v>1.6777284845021359</v>
      </c>
      <c r="O106" s="7">
        <v>1.128235078757035</v>
      </c>
    </row>
    <row r="107" spans="1:15" x14ac:dyDescent="0.35">
      <c r="A107" s="3">
        <v>4</v>
      </c>
      <c r="B107" s="4">
        <v>0.27083333333333298</v>
      </c>
      <c r="C107" s="3">
        <v>5182</v>
      </c>
      <c r="D107" s="3">
        <v>2</v>
      </c>
      <c r="E107" s="3">
        <v>2</v>
      </c>
      <c r="F107" s="3">
        <v>2.46</v>
      </c>
      <c r="G107" s="5">
        <v>6.5966666666666667</v>
      </c>
      <c r="H107" s="6">
        <v>46.0365486516625</v>
      </c>
      <c r="I107" s="7">
        <v>65.107752275105412</v>
      </c>
      <c r="J107" s="7">
        <v>18.15010523727754</v>
      </c>
      <c r="K107" s="8">
        <f t="shared" si="1"/>
        <v>3.587183182904309</v>
      </c>
      <c r="L107" s="7">
        <v>12.897209794073389</v>
      </c>
      <c r="M107" s="7">
        <v>1.1205742578481146</v>
      </c>
      <c r="N107" s="7">
        <v>1.2237915044202252</v>
      </c>
      <c r="O107" s="7">
        <v>1.500566931275326</v>
      </c>
    </row>
    <row r="108" spans="1:15" x14ac:dyDescent="0.35">
      <c r="A108" s="3">
        <v>4</v>
      </c>
      <c r="B108" s="4">
        <v>0.45833333333333331</v>
      </c>
      <c r="C108" s="3">
        <v>5182</v>
      </c>
      <c r="D108" s="3">
        <v>2</v>
      </c>
      <c r="E108" s="3">
        <v>2</v>
      </c>
      <c r="F108" s="3">
        <v>5.19</v>
      </c>
      <c r="G108" s="5">
        <v>6.25</v>
      </c>
      <c r="H108" s="6">
        <v>49.452448268809313</v>
      </c>
      <c r="I108" s="7">
        <v>65.567455798622774</v>
      </c>
      <c r="J108" s="7">
        <v>18.495812332960419</v>
      </c>
      <c r="K108" s="8">
        <f t="shared" si="1"/>
        <v>3.5449892450399942</v>
      </c>
      <c r="L108" s="7">
        <v>11.719235641502065</v>
      </c>
      <c r="M108" s="7">
        <v>1.1279499478946111</v>
      </c>
      <c r="N108" s="7">
        <v>1.4195890568863816</v>
      </c>
      <c r="O108" s="7">
        <v>1.6699572221337549</v>
      </c>
    </row>
    <row r="109" spans="1:15" x14ac:dyDescent="0.35">
      <c r="A109" s="3">
        <v>4</v>
      </c>
      <c r="B109" s="4">
        <v>0.58333333333333337</v>
      </c>
      <c r="C109" s="3">
        <v>5182</v>
      </c>
      <c r="D109" s="3">
        <v>2</v>
      </c>
      <c r="E109" s="3">
        <v>2</v>
      </c>
      <c r="F109" s="3">
        <v>2.48</v>
      </c>
      <c r="G109" s="5">
        <v>6.1400000000000006</v>
      </c>
      <c r="H109" s="6"/>
      <c r="I109" s="7">
        <v>63.346222508994018</v>
      </c>
      <c r="J109" s="7">
        <v>19.223034644130362</v>
      </c>
      <c r="K109" s="8">
        <f t="shared" si="1"/>
        <v>3.2953289468443216</v>
      </c>
      <c r="L109" s="7">
        <v>13.013155348693839</v>
      </c>
      <c r="M109" s="7">
        <v>1.0848849757859236</v>
      </c>
      <c r="N109" s="7">
        <v>1.6999044268802115</v>
      </c>
      <c r="O109" s="7">
        <v>1.6327980955156429</v>
      </c>
    </row>
    <row r="110" spans="1:15" x14ac:dyDescent="0.35">
      <c r="A110" s="3">
        <v>4</v>
      </c>
      <c r="B110" s="4">
        <v>0.6875</v>
      </c>
      <c r="C110" s="3">
        <v>5182</v>
      </c>
      <c r="D110" s="3">
        <v>2</v>
      </c>
      <c r="E110" s="3">
        <v>2</v>
      </c>
      <c r="F110" s="3">
        <v>14.51</v>
      </c>
      <c r="G110" s="5">
        <v>6.0966666666666667</v>
      </c>
      <c r="H110" s="6"/>
      <c r="I110" s="7">
        <v>62.839495245484024</v>
      </c>
      <c r="J110" s="7">
        <v>18.977157043557746</v>
      </c>
      <c r="K110" s="8">
        <f t="shared" si="1"/>
        <v>3.3113229289956476</v>
      </c>
      <c r="L110" s="7">
        <v>13.706788681994686</v>
      </c>
      <c r="M110" s="7">
        <v>1.0834039828354389</v>
      </c>
      <c r="N110" s="7">
        <v>1.776749340234328</v>
      </c>
      <c r="O110" s="7">
        <v>1.616405705893776</v>
      </c>
    </row>
    <row r="111" spans="1:15" x14ac:dyDescent="0.35">
      <c r="A111" s="3">
        <v>4</v>
      </c>
      <c r="B111" s="4">
        <v>0.82291666666666696</v>
      </c>
      <c r="C111" s="3">
        <v>5182</v>
      </c>
      <c r="D111" s="3">
        <v>2</v>
      </c>
      <c r="E111" s="3">
        <v>2</v>
      </c>
      <c r="F111" s="3">
        <v>18.46</v>
      </c>
      <c r="G111" s="5">
        <v>5.3966666666666674</v>
      </c>
      <c r="H111" s="6">
        <v>99.307589869947634</v>
      </c>
      <c r="I111" s="7">
        <v>61.997543925789934</v>
      </c>
      <c r="J111" s="7">
        <v>20.749370240522058</v>
      </c>
      <c r="K111" s="8">
        <f t="shared" si="1"/>
        <v>2.9879241252687803</v>
      </c>
      <c r="L111" s="7">
        <v>13.901956209042735</v>
      </c>
      <c r="M111" s="7">
        <v>0.79038930599827795</v>
      </c>
      <c r="N111" s="7">
        <v>1.4063542105989861</v>
      </c>
      <c r="O111" s="7">
        <v>1.1543861080479938</v>
      </c>
    </row>
    <row r="112" spans="1:15" x14ac:dyDescent="0.35">
      <c r="A112" s="3">
        <v>4</v>
      </c>
      <c r="B112" s="4">
        <v>0.9375</v>
      </c>
      <c r="C112" s="3">
        <v>5182</v>
      </c>
      <c r="D112" s="3">
        <v>2</v>
      </c>
      <c r="E112" s="3">
        <v>2</v>
      </c>
      <c r="F112" s="3">
        <v>4.96</v>
      </c>
      <c r="G112" s="5">
        <v>4.9633333333333338</v>
      </c>
      <c r="H112" s="6">
        <v>102.77655531716243</v>
      </c>
      <c r="I112" s="7">
        <v>65.212197389721268</v>
      </c>
      <c r="J112" s="7">
        <v>18.873299515663621</v>
      </c>
      <c r="K112" s="8">
        <f t="shared" si="1"/>
        <v>3.45526214616577</v>
      </c>
      <c r="L112" s="7">
        <v>12.983095553947008</v>
      </c>
      <c r="M112" s="7">
        <v>0.78397288022625333</v>
      </c>
      <c r="N112" s="7">
        <v>1.1948965740892332</v>
      </c>
      <c r="O112" s="7">
        <v>0.95253808635262205</v>
      </c>
    </row>
    <row r="113" spans="1:15" x14ac:dyDescent="0.35">
      <c r="A113" s="3">
        <v>4</v>
      </c>
      <c r="B113" s="4">
        <v>3.125E-2</v>
      </c>
      <c r="C113" s="3">
        <v>5182</v>
      </c>
      <c r="D113" s="3">
        <v>2</v>
      </c>
      <c r="E113" s="3">
        <v>2</v>
      </c>
      <c r="F113" s="3">
        <v>3.62</v>
      </c>
      <c r="G113" s="5">
        <v>5.3900000000000006</v>
      </c>
      <c r="H113" s="6">
        <v>107.19882753086132</v>
      </c>
      <c r="I113" s="7">
        <v>64.375358796185438</v>
      </c>
      <c r="J113" s="7">
        <v>18.715224948883026</v>
      </c>
      <c r="K113" s="8">
        <f t="shared" si="1"/>
        <v>3.4397320348547309</v>
      </c>
      <c r="L113" s="7">
        <v>13.102125698306699</v>
      </c>
      <c r="M113" s="7">
        <v>0.97230366326379858</v>
      </c>
      <c r="N113" s="7">
        <v>1.5073933057637929</v>
      </c>
      <c r="O113" s="7">
        <v>1.3275935875972458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Jordana Rivero-Viera</dc:creator>
  <cp:lastModifiedBy>Jordana Rivero-Viera</cp:lastModifiedBy>
  <dcterms:created xsi:type="dcterms:W3CDTF">2021-03-22T15:56:59Z</dcterms:created>
  <dcterms:modified xsi:type="dcterms:W3CDTF">2021-03-22T15:57:15Z</dcterms:modified>
</cp:coreProperties>
</file>